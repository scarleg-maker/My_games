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IA\Sites\Triple Triad\public\images\cards\DSBB\"/>
    </mc:Choice>
  </mc:AlternateContent>
  <xr:revisionPtr revIDLastSave="0" documentId="13_ncr:1_{4B542538-A2F6-450D-93B3-647188570BB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rtes DSBB" sheetId="1" r:id="rId1"/>
  </sheets>
  <definedNames>
    <definedName name="_xlnm._FilterDatabase" localSheetId="0" hidden="1">'Cartes DSBB'!$A$1:$H$141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9" i="1" l="1"/>
  <c r="E99" i="1" s="1"/>
  <c r="H100" i="1"/>
  <c r="E100" i="1" s="1"/>
  <c r="H101" i="1"/>
  <c r="E101" i="1" s="1"/>
  <c r="H102" i="1"/>
  <c r="E102" i="1" s="1"/>
  <c r="H103" i="1"/>
  <c r="E103" i="1" s="1"/>
  <c r="H104" i="1"/>
  <c r="E104" i="1" s="1"/>
  <c r="H105" i="1"/>
  <c r="E105" i="1" s="1"/>
  <c r="H106" i="1"/>
  <c r="E106" i="1" s="1"/>
  <c r="H107" i="1"/>
  <c r="E107" i="1" s="1"/>
  <c r="H108" i="1"/>
  <c r="E108" i="1" s="1"/>
  <c r="H109" i="1"/>
  <c r="E109" i="1" s="1"/>
  <c r="H110" i="1"/>
  <c r="E110" i="1" s="1"/>
  <c r="H111" i="1"/>
  <c r="E111" i="1" s="1"/>
  <c r="H114" i="1"/>
  <c r="E114" i="1" s="1"/>
  <c r="H115" i="1"/>
  <c r="E115" i="1" s="1"/>
  <c r="H116" i="1"/>
  <c r="E116" i="1" s="1"/>
  <c r="H117" i="1"/>
  <c r="E117" i="1" s="1"/>
  <c r="H118" i="1"/>
  <c r="E118" i="1" s="1"/>
  <c r="H119" i="1"/>
  <c r="E119" i="1" s="1"/>
  <c r="H120" i="1"/>
  <c r="E120" i="1" s="1"/>
  <c r="H121" i="1"/>
  <c r="E121" i="1" s="1"/>
  <c r="H122" i="1"/>
  <c r="E122" i="1" s="1"/>
  <c r="H123" i="1"/>
  <c r="E123" i="1" s="1"/>
  <c r="H124" i="1"/>
  <c r="E124" i="1" s="1"/>
  <c r="H125" i="1"/>
  <c r="E125" i="1" s="1"/>
  <c r="H126" i="1"/>
  <c r="E126" i="1" s="1"/>
  <c r="H129" i="1"/>
  <c r="E129" i="1" s="1"/>
  <c r="H130" i="1"/>
  <c r="E130" i="1" s="1"/>
  <c r="H131" i="1"/>
  <c r="E131" i="1" s="1"/>
  <c r="H132" i="1"/>
  <c r="E132" i="1" s="1"/>
  <c r="H133" i="1"/>
  <c r="E133" i="1" s="1"/>
  <c r="H134" i="1"/>
  <c r="E134" i="1" s="1"/>
  <c r="H135" i="1"/>
  <c r="E135" i="1" s="1"/>
  <c r="H136" i="1"/>
  <c r="E136" i="1" s="1"/>
  <c r="H137" i="1"/>
  <c r="E137" i="1" s="1"/>
  <c r="H138" i="1"/>
  <c r="E138" i="1" s="1"/>
  <c r="H139" i="1"/>
  <c r="E139" i="1" s="1"/>
  <c r="H140" i="1"/>
  <c r="E140" i="1" s="1"/>
  <c r="H141" i="1"/>
  <c r="E141" i="1" s="1"/>
  <c r="H66" i="1"/>
  <c r="E66" i="1" s="1"/>
  <c r="H39" i="1"/>
  <c r="E39" i="1" s="1"/>
  <c r="H3" i="1"/>
  <c r="E3" i="1" s="1"/>
  <c r="H128" i="1"/>
  <c r="E128" i="1" s="1"/>
  <c r="H113" i="1"/>
  <c r="E113" i="1" s="1"/>
  <c r="H98" i="1"/>
  <c r="E98" i="1" s="1"/>
  <c r="H96" i="1"/>
  <c r="E96" i="1" s="1"/>
  <c r="H95" i="1"/>
  <c r="E95" i="1" s="1"/>
  <c r="H94" i="1"/>
  <c r="E94" i="1" s="1"/>
  <c r="H93" i="1"/>
  <c r="E93" i="1" s="1"/>
  <c r="H92" i="1"/>
  <c r="E92" i="1" s="1"/>
  <c r="H91" i="1"/>
  <c r="E91" i="1" s="1"/>
  <c r="H90" i="1"/>
  <c r="E90" i="1" s="1"/>
  <c r="H89" i="1"/>
  <c r="E89" i="1" s="1"/>
  <c r="H88" i="1"/>
  <c r="E88" i="1" s="1"/>
  <c r="H87" i="1"/>
  <c r="E87" i="1" s="1"/>
  <c r="H86" i="1"/>
  <c r="E86" i="1" s="1"/>
  <c r="H85" i="1"/>
  <c r="E85" i="1" s="1"/>
  <c r="H84" i="1"/>
  <c r="E84" i="1" s="1"/>
  <c r="H83" i="1"/>
  <c r="E83" i="1" s="1"/>
  <c r="H81" i="1"/>
  <c r="E81" i="1" s="1"/>
  <c r="H80" i="1"/>
  <c r="E80" i="1" s="1"/>
  <c r="H79" i="1"/>
  <c r="E79" i="1" s="1"/>
  <c r="H78" i="1"/>
  <c r="E78" i="1" s="1"/>
  <c r="H77" i="1"/>
  <c r="E77" i="1" s="1"/>
  <c r="H76" i="1"/>
  <c r="E76" i="1" s="1"/>
  <c r="H75" i="1"/>
  <c r="E75" i="1" s="1"/>
  <c r="H74" i="1"/>
  <c r="E74" i="1" s="1"/>
  <c r="H73" i="1"/>
  <c r="E73" i="1" s="1"/>
  <c r="H72" i="1"/>
  <c r="E72" i="1" s="1"/>
  <c r="H71" i="1"/>
  <c r="E71" i="1" s="1"/>
  <c r="H70" i="1"/>
  <c r="E70" i="1" s="1"/>
  <c r="H69" i="1"/>
  <c r="E69" i="1" s="1"/>
  <c r="H67" i="1"/>
  <c r="E67" i="1" s="1"/>
  <c r="H65" i="1"/>
  <c r="E65" i="1" s="1"/>
  <c r="H64" i="1"/>
  <c r="E64" i="1" s="1"/>
  <c r="H63" i="1"/>
  <c r="E63" i="1" s="1"/>
  <c r="H62" i="1"/>
  <c r="E61" i="1" s="1"/>
  <c r="H61" i="1"/>
  <c r="E60" i="1" s="1"/>
  <c r="H60" i="1"/>
  <c r="E59" i="1" s="1"/>
  <c r="H59" i="1"/>
  <c r="E58" i="1" s="1"/>
  <c r="H58" i="1"/>
  <c r="E57" i="1" s="1"/>
  <c r="H57" i="1"/>
  <c r="H56" i="1"/>
  <c r="E56" i="1" s="1"/>
  <c r="H55" i="1"/>
  <c r="E55" i="1" s="1"/>
  <c r="H53" i="1"/>
  <c r="E53" i="1" s="1"/>
  <c r="H52" i="1"/>
  <c r="E52" i="1" s="1"/>
  <c r="H51" i="1"/>
  <c r="E51" i="1" s="1"/>
  <c r="H50" i="1"/>
  <c r="E50" i="1" s="1"/>
  <c r="H49" i="1"/>
  <c r="E49" i="1" s="1"/>
  <c r="H48" i="1"/>
  <c r="E48" i="1" s="1"/>
  <c r="H47" i="1"/>
  <c r="E47" i="1" s="1"/>
  <c r="H46" i="1"/>
  <c r="E46" i="1" s="1"/>
  <c r="H45" i="1"/>
  <c r="E45" i="1" s="1"/>
  <c r="H44" i="1"/>
  <c r="E44" i="1" s="1"/>
  <c r="H43" i="1"/>
  <c r="E43" i="1" s="1"/>
  <c r="H42" i="1"/>
  <c r="E42" i="1" s="1"/>
  <c r="H40" i="1"/>
  <c r="E40" i="1" s="1"/>
  <c r="H38" i="1"/>
  <c r="E38" i="1" s="1"/>
  <c r="H37" i="1"/>
  <c r="E37" i="1" s="1"/>
  <c r="H36" i="1"/>
  <c r="E36" i="1" s="1"/>
  <c r="H35" i="1"/>
  <c r="E35" i="1" s="1"/>
  <c r="H34" i="1"/>
  <c r="E34" i="1" s="1"/>
  <c r="H33" i="1"/>
  <c r="E33" i="1" s="1"/>
  <c r="H32" i="1"/>
  <c r="E32" i="1" s="1"/>
  <c r="H31" i="1"/>
  <c r="E31" i="1" s="1"/>
  <c r="H30" i="1"/>
  <c r="E30" i="1" s="1"/>
  <c r="H29" i="1"/>
  <c r="E29" i="1" s="1"/>
  <c r="H27" i="1"/>
  <c r="E27" i="1" s="1"/>
  <c r="H26" i="1"/>
  <c r="E26" i="1" s="1"/>
  <c r="H25" i="1"/>
  <c r="E25" i="1" s="1"/>
  <c r="H24" i="1"/>
  <c r="E24" i="1" s="1"/>
  <c r="H23" i="1"/>
  <c r="E23" i="1" s="1"/>
  <c r="H22" i="1"/>
  <c r="E22" i="1" s="1"/>
  <c r="H21" i="1"/>
  <c r="E21" i="1" s="1"/>
  <c r="H20" i="1"/>
  <c r="E20" i="1" s="1"/>
  <c r="H19" i="1"/>
  <c r="E19" i="1" s="1"/>
  <c r="H18" i="1"/>
  <c r="E18" i="1" s="1"/>
  <c r="H17" i="1"/>
  <c r="E17" i="1" s="1"/>
  <c r="H16" i="1"/>
  <c r="E16" i="1" s="1"/>
  <c r="H14" i="1"/>
  <c r="E14" i="1" s="1"/>
  <c r="H13" i="1"/>
  <c r="E13" i="1" s="1"/>
  <c r="H12" i="1"/>
  <c r="E12" i="1" s="1"/>
  <c r="H11" i="1"/>
  <c r="E11" i="1" s="1"/>
  <c r="H10" i="1"/>
  <c r="E10" i="1" s="1"/>
  <c r="H9" i="1"/>
  <c r="E9" i="1" s="1"/>
  <c r="H8" i="1"/>
  <c r="E8" i="1" s="1"/>
  <c r="H7" i="1"/>
  <c r="E7" i="1" s="1"/>
  <c r="H6" i="1"/>
  <c r="E6" i="1" s="1"/>
  <c r="H5" i="1"/>
  <c r="E5" i="1" s="1"/>
  <c r="H4" i="1"/>
  <c r="E4" i="1" s="1"/>
</calcChain>
</file>

<file path=xl/sharedStrings.xml><?xml version="1.0" encoding="utf-8"?>
<sst xmlns="http://schemas.openxmlformats.org/spreadsheetml/2006/main" count="759" uniqueCount="481">
  <si>
    <t>Numéro</t>
  </si>
  <si>
    <t>Univers</t>
  </si>
  <si>
    <t>Traduction</t>
  </si>
  <si>
    <t>Vrai nom fr</t>
  </si>
  <si>
    <t>Chemin</t>
  </si>
  <si>
    <t>Element</t>
  </si>
  <si>
    <t>Legendaire</t>
  </si>
  <si>
    <t>Level 01</t>
  </si>
  <si>
    <t>01-01</t>
  </si>
  <si>
    <t>DeS</t>
  </si>
  <si>
    <t>Avant-Garde</t>
  </si>
  <si>
    <t>01-01 Avant-Garde (DeS)</t>
  </si>
  <si>
    <t>01-02</t>
  </si>
  <si>
    <t>DS1</t>
  </si>
  <si>
    <t>Virevent</t>
  </si>
  <si>
    <t>01-02 Virevent (DS1)</t>
  </si>
  <si>
    <t>01-03</t>
  </si>
  <si>
    <t>Phalange</t>
  </si>
  <si>
    <t>01-03 Phalange (DeS)</t>
  </si>
  <si>
    <t>01-04</t>
  </si>
  <si>
    <t>DS2</t>
  </si>
  <si>
    <t>Dernier Géant</t>
  </si>
  <si>
    <t>01-04 Dernier Géant (DS2)</t>
  </si>
  <si>
    <t>01-05</t>
  </si>
  <si>
    <t>DS3</t>
  </si>
  <si>
    <t>Arbre geant maudit</t>
  </si>
  <si>
    <t>Poison</t>
  </si>
  <si>
    <t>01-05 Arbre geant maudit (DS3)</t>
  </si>
  <si>
    <t>01-06</t>
  </si>
  <si>
    <t>Démon Capra</t>
  </si>
  <si>
    <t>01-06 Démon Capra (DS1)</t>
  </si>
  <si>
    <t>01-07</t>
  </si>
  <si>
    <t>Monte-Dragon</t>
  </si>
  <si>
    <t>01-07 Monte-Dragon (DS2)</t>
  </si>
  <si>
    <t>01-08</t>
  </si>
  <si>
    <t>BB</t>
  </si>
  <si>
    <t>Bête Cléricale</t>
  </si>
  <si>
    <t>01-08 Bête Cléricale (BB)</t>
  </si>
  <si>
    <t>01-09</t>
  </si>
  <si>
    <t>Diacres des Profondeurs</t>
  </si>
  <si>
    <t>01-09 Diacres des Profondeurs (DS3)</t>
  </si>
  <si>
    <t>01-10</t>
  </si>
  <si>
    <t>Démon Convoiteux</t>
  </si>
  <si>
    <t>01-10 Démon Convoiteux (DS2)</t>
  </si>
  <si>
    <t>01-11</t>
  </si>
  <si>
    <t>Démon Taureau</t>
  </si>
  <si>
    <t>01-11 Démon Taureau (DS1)</t>
  </si>
  <si>
    <t>01-12</t>
  </si>
  <si>
    <t>Géant Mort-Vivant</t>
  </si>
  <si>
    <t>01-12 Géant Mort-Vivant (BB)</t>
  </si>
  <si>
    <t>Level 02</t>
  </si>
  <si>
    <t>02-01</t>
  </si>
  <si>
    <t>Sage de Cristal</t>
  </si>
  <si>
    <t>Glace</t>
  </si>
  <si>
    <t>02-01 Sage de Cristal (DS3)</t>
  </si>
  <si>
    <t>02-02</t>
  </si>
  <si>
    <t>Sorcière de Hemwick</t>
  </si>
  <si>
    <t>02-02 Sorcière de Hemwick (BB)</t>
  </si>
  <si>
    <t>02-03</t>
  </si>
  <si>
    <t>Congrégation</t>
  </si>
  <si>
    <t>02-03 Congrégation (DS2)</t>
  </si>
  <si>
    <t>02-04</t>
  </si>
  <si>
    <t>Émissaire Céleste</t>
  </si>
  <si>
    <t>02-04 Émissaire Céleste (BB)</t>
  </si>
  <si>
    <t>02-05</t>
  </si>
  <si>
    <t>Décharge Incessante</t>
  </si>
  <si>
    <t>Feu</t>
  </si>
  <si>
    <t>02-05 Décharge Incessante (DS1)</t>
  </si>
  <si>
    <t>02-06</t>
  </si>
  <si>
    <t>Papillon Lunaire</t>
  </si>
  <si>
    <t>02-06 Papillon Lunaire (DS1)</t>
  </si>
  <si>
    <t>02-07</t>
  </si>
  <si>
    <t>02-08</t>
  </si>
  <si>
    <t>Gargouilles de la Cloche</t>
  </si>
  <si>
    <t>02-08 Gargouilles de la Cloche (DS1)</t>
  </si>
  <si>
    <t>02-09</t>
  </si>
  <si>
    <t>Araignée Blindée</t>
  </si>
  <si>
    <t>02-09 Araignée Blindée (DeS)</t>
  </si>
  <si>
    <t>02-10</t>
  </si>
  <si>
    <t>Chariot du Bourreau</t>
  </si>
  <si>
    <t>02-10 Chariot du Bourreau (DS2)</t>
  </si>
  <si>
    <t>02-11</t>
  </si>
  <si>
    <t>Sentinelle ondoyante</t>
  </si>
  <si>
    <t>Eau</t>
  </si>
  <si>
    <t>02-11 Sentinelle ondoyante (DS2)</t>
  </si>
  <si>
    <t>02-12</t>
  </si>
  <si>
    <t>Iudex Gundyr</t>
  </si>
  <si>
    <t>02-12 Iudex Gundyr (DS3)</t>
  </si>
  <si>
    <t>Level 03</t>
  </si>
  <si>
    <t>03-01</t>
  </si>
  <si>
    <t>Gargouilles du Beffroi</t>
  </si>
  <si>
    <t>03-01 Gargouilles du Beffroi (DS2)</t>
  </si>
  <si>
    <t>03-02</t>
  </si>
  <si>
    <t>Golem de Fer</t>
  </si>
  <si>
    <t>03-02 Golem de Fer (DS1)</t>
  </si>
  <si>
    <t>03-03</t>
  </si>
  <si>
    <t>Le Renné</t>
  </si>
  <si>
    <t>Celui qui renaquit</t>
  </si>
  <si>
    <t>03-03 Celui qui renaquit (BB)</t>
  </si>
  <si>
    <t>03-04</t>
  </si>
  <si>
    <t>Seigneur des Sangsues</t>
  </si>
  <si>
    <t>03-04 Seigneur des Sangsues (DeS)</t>
  </si>
  <si>
    <t>03-05</t>
  </si>
  <si>
    <t>Vordt de la Vallée Boréale</t>
  </si>
  <si>
    <t>Vordt</t>
  </si>
  <si>
    <t>03-05 Vordt (DS3)</t>
  </si>
  <si>
    <t>03-06</t>
  </si>
  <si>
    <t>Haut-Seigneur Wolnir</t>
  </si>
  <si>
    <t>Wolnir</t>
  </si>
  <si>
    <t>Ténèbres</t>
  </si>
  <si>
    <t>03-06 Wolnir (DS3)</t>
  </si>
  <si>
    <t>03-07</t>
  </si>
  <si>
    <t>Avant-Garde du Roi Rat</t>
  </si>
  <si>
    <t>03-07 Avant-Garde du Roi Rat (DS2)</t>
  </si>
  <si>
    <t>03-08</t>
  </si>
  <si>
    <t>Vieux Tueur de Dragons</t>
  </si>
  <si>
    <t>Foudre</t>
  </si>
  <si>
    <t>03-08 Vieux Tueur de Dragons (DS2)</t>
  </si>
  <si>
    <t>03-09</t>
  </si>
  <si>
    <t>03-10</t>
  </si>
  <si>
    <t>Seigneurs Squelettes</t>
  </si>
  <si>
    <t>Seigneurs Squelettiques</t>
  </si>
  <si>
    <t>Terre</t>
  </si>
  <si>
    <t>03-10 Seigneurs Squelettiques (DS2)</t>
  </si>
  <si>
    <t>03-11</t>
  </si>
  <si>
    <t>Autorité du Rat Royal</t>
  </si>
  <si>
    <t>03-12</t>
  </si>
  <si>
    <t>Bête Assoiffée de Sang</t>
  </si>
  <si>
    <t>03-12 Bête Assoiffée de Sang (BB)</t>
  </si>
  <si>
    <t>Level 04</t>
  </si>
  <si>
    <t>04-01</t>
  </si>
  <si>
    <t>Sentinelles en Ruine</t>
  </si>
  <si>
    <t>Sentinelles des Ruines</t>
  </si>
  <si>
    <t>04-01 Sentinelles des Ruines (DS2)</t>
  </si>
  <si>
    <t>04-02</t>
  </si>
  <si>
    <t>Poursuivant</t>
  </si>
  <si>
    <t>04-02 Poursuivant (DS2)</t>
  </si>
  <si>
    <t>04-03</t>
  </si>
  <si>
    <t>Chevalier de la Tour</t>
  </si>
  <si>
    <t>04-03 Chevalier de la Tour (DeS)</t>
  </si>
  <si>
    <t>04-04</t>
  </si>
  <si>
    <t>Démon de l'Aile</t>
  </si>
  <si>
    <t>Démon de l'Asile</t>
  </si>
  <si>
    <t>04-04 Démon de l'Asile (DS1)</t>
  </si>
  <si>
    <t>04-05</t>
  </si>
  <si>
    <t>Semi-Lumineux, Lance de l'Église</t>
  </si>
  <si>
    <t>Aube</t>
  </si>
  <si>
    <t>Sacré</t>
  </si>
  <si>
    <t>04-05 Aube (DS3)</t>
  </si>
  <si>
    <t>04-06</t>
  </si>
  <si>
    <t>Échecs Vivants</t>
  </si>
  <si>
    <t>04-06 Échecs Vivants (BB)</t>
  </si>
  <si>
    <t>04-07</t>
  </si>
  <si>
    <t>Najka la Scorpionne</t>
  </si>
  <si>
    <t>Najka</t>
  </si>
  <si>
    <t>04-07 Najka (DS2)</t>
  </si>
  <si>
    <t>04-08</t>
  </si>
  <si>
    <t>Bête Sombre Paarl</t>
  </si>
  <si>
    <t>Paarl</t>
  </si>
  <si>
    <t>04-08 Paarl (BB)</t>
  </si>
  <si>
    <t>04-09</t>
  </si>
  <si>
    <t>Démon Fondeur</t>
  </si>
  <si>
    <t>04-09 Démon Fondeur (DS2)</t>
  </si>
  <si>
    <t>04-10</t>
  </si>
  <si>
    <t>Ombre de Yharnam</t>
  </si>
  <si>
    <t>Ombres de Yharnam</t>
  </si>
  <si>
    <t>04-10 Ombres de Yharnam (BB)</t>
  </si>
  <si>
    <t>04-11</t>
  </si>
  <si>
    <t>Vieux Roi Démon</t>
  </si>
  <si>
    <t>04-11 Vieux Roi Démon (DS3)</t>
  </si>
  <si>
    <t>04-12</t>
  </si>
  <si>
    <t>Démon Pyromage</t>
  </si>
  <si>
    <t>04-12 Démon Pyromage (DS1)</t>
  </si>
  <si>
    <t>Level 05</t>
  </si>
  <si>
    <t>05-01</t>
  </si>
  <si>
    <t>Rom, l'Araignée Vide</t>
  </si>
  <si>
    <t>Rom</t>
  </si>
  <si>
    <t>05-01 Rom (BB)</t>
  </si>
  <si>
    <t>05-02</t>
  </si>
  <si>
    <t>05-03</t>
  </si>
  <si>
    <t>Dragon Ancien</t>
  </si>
  <si>
    <t>Vent</t>
  </si>
  <si>
    <t>05-03 Dragon Ancien (DS2)</t>
  </si>
  <si>
    <t>05-04</t>
  </si>
  <si>
    <t>Idole des Fous</t>
  </si>
  <si>
    <t>05-04 Idole des Fous (DeS)</t>
  </si>
  <si>
    <t>05-05</t>
  </si>
  <si>
    <t>Gardien du Sanctuaire</t>
  </si>
  <si>
    <t>05-05 Gardien du Sanctuaire (DS1)</t>
  </si>
  <si>
    <t>05-06</t>
  </si>
  <si>
    <t>Amygdala</t>
  </si>
  <si>
    <t>05-06 Amygdala (BB)</t>
  </si>
  <si>
    <t>05-07</t>
  </si>
  <si>
    <t>Dragon Béant</t>
  </si>
  <si>
    <t>05-07 Dragon Béant (DS1)</t>
  </si>
  <si>
    <t>05-08</t>
  </si>
  <si>
    <t>Océiros, le Roi Consumé</t>
  </si>
  <si>
    <t>Océiros</t>
  </si>
  <si>
    <t>05-08 Océiros (DS3)</t>
  </si>
  <si>
    <t>05-09</t>
  </si>
  <si>
    <t>Vieux Héros</t>
  </si>
  <si>
    <t>05-09 Vieux Héros (DeS)</t>
  </si>
  <si>
    <t>05-10</t>
  </si>
  <si>
    <t>Gardien et Défenseur du Trône</t>
  </si>
  <si>
    <t>05-11</t>
  </si>
  <si>
    <t>Pilleur de Tombes Affligé et ses compagnons</t>
  </si>
  <si>
    <t>Pilleur, Varg &amp; Cerah</t>
  </si>
  <si>
    <t>05-11 Pilleur, Varg &amp; Cerah (DS2)</t>
  </si>
  <si>
    <t>05-12</t>
  </si>
  <si>
    <t>Mytha, la Reine Maléfique</t>
  </si>
  <si>
    <t>Mytha</t>
  </si>
  <si>
    <t>05-12 Mytha (DS2)</t>
  </si>
  <si>
    <t>Level 06</t>
  </si>
  <si>
    <t>06-01</t>
  </si>
  <si>
    <t>Prince Démon</t>
  </si>
  <si>
    <t>06-01 Prince Démon (DS3)</t>
  </si>
  <si>
    <t>06-02</t>
  </si>
  <si>
    <t>Démon Mille-Pattes</t>
  </si>
  <si>
    <t>Demon Centipede</t>
  </si>
  <si>
    <t>06-02 Demon Centipede (DS1)</t>
  </si>
  <si>
    <t>06-03</t>
  </si>
  <si>
    <t>Quelaag, Sorcière du Chaos</t>
  </si>
  <si>
    <t>Quelaag</t>
  </si>
  <si>
    <t>06-03 Quelaag (DS1)</t>
  </si>
  <si>
    <t>06-04</t>
  </si>
  <si>
    <t>Père Gascoigne</t>
  </si>
  <si>
    <t>06-04 Père Gascoigne (BB)</t>
  </si>
  <si>
    <t>06-05</t>
  </si>
  <si>
    <t>Dragon Gardien</t>
  </si>
  <si>
    <t>06-05 Dragon Gardien (DS2)</t>
  </si>
  <si>
    <t>06-06</t>
  </si>
  <si>
    <t>Pénétrateur</t>
  </si>
  <si>
    <t>06-06 Pénétrateur (DeS)</t>
  </si>
  <si>
    <t>06-07</t>
  </si>
  <si>
    <t>Vieux Wyverne</t>
  </si>
  <si>
    <t>Vouivre Ancienne</t>
  </si>
  <si>
    <t>06-07 Vouivre Ancienne (DS3)</t>
  </si>
  <si>
    <t>06-08</t>
  </si>
  <si>
    <t>06-09</t>
  </si>
  <si>
    <t>Pécheresse Perdue</t>
  </si>
  <si>
    <t>Pécheresse Oubliée</t>
  </si>
  <si>
    <t>06-09 Pécheresse Oubliée (DS2)</t>
  </si>
  <si>
    <t>06-10</t>
  </si>
  <si>
    <t>06-11</t>
  </si>
  <si>
    <t>Démon Fondeur Bleu</t>
  </si>
  <si>
    <t>06-11 Démon Fondeur Bleu (DS2)</t>
  </si>
  <si>
    <t>06-12</t>
  </si>
  <si>
    <t>Danseuse de la Vallée Boréale</t>
  </si>
  <si>
    <t>06-12 Danseuse de la Vallée Boréale (DS3)</t>
  </si>
  <si>
    <t>06-13</t>
  </si>
  <si>
    <t>Démon du Chant</t>
  </si>
  <si>
    <t>06-13 Démon du Chant (DS2)</t>
  </si>
  <si>
    <t>Level 07</t>
  </si>
  <si>
    <t>07-01</t>
  </si>
  <si>
    <t>Kalameet le Dragon Noir</t>
  </si>
  <si>
    <t>Kalameet</t>
  </si>
  <si>
    <t>07-01 Kalameet (DS1)</t>
  </si>
  <si>
    <t>07-02</t>
  </si>
  <si>
    <t>Vieux Moine</t>
  </si>
  <si>
    <t>Moine Sénile</t>
  </si>
  <si>
    <t>07-02 Moine Sénile (DeS)</t>
  </si>
  <si>
    <t>07-03</t>
  </si>
  <si>
    <t>Logarius le Martyr</t>
  </si>
  <si>
    <t>Logarius</t>
  </si>
  <si>
    <t>07-03 Logarius (BB)</t>
  </si>
  <si>
    <t>07-04</t>
  </si>
  <si>
    <t>Sif, le Grand Loup Gris</t>
  </si>
  <si>
    <t>Sif</t>
  </si>
  <si>
    <t>07-04 Sif (DS1)</t>
  </si>
  <si>
    <t>07-05</t>
  </si>
  <si>
    <t>Elana, la Reine Souillée</t>
  </si>
  <si>
    <t>Elana</t>
  </si>
  <si>
    <t>07-05 Elana (DS2)</t>
  </si>
  <si>
    <t>07-06</t>
  </si>
  <si>
    <t>Mangeur d'Hommes</t>
  </si>
  <si>
    <t>Anthropophage</t>
  </si>
  <si>
    <t>07-06 Anthropophage (DeS)</t>
  </si>
  <si>
    <t>07-07</t>
  </si>
  <si>
    <t>Nourrice de Mergo</t>
  </si>
  <si>
    <t>07-07 Nourrice de Mergo (BB)</t>
  </si>
  <si>
    <t>07-08</t>
  </si>
  <si>
    <t>Quatre Rois</t>
  </si>
  <si>
    <t>07-08 Quatre Rois (DS1)</t>
  </si>
  <si>
    <t>07-09</t>
  </si>
  <si>
    <t>Armure Pourfendeuse de Dragons</t>
  </si>
  <si>
    <t>Armure de Tueur de Dragons</t>
  </si>
  <si>
    <t>07-09 Armure de Tueur de Dragons (DS3)</t>
  </si>
  <si>
    <t>07-10</t>
  </si>
  <si>
    <t>Priscilla l'Hybride</t>
  </si>
  <si>
    <t>Priscilla</t>
  </si>
  <si>
    <t>07-10 Priscilla (DS1)</t>
  </si>
  <si>
    <t>07-11</t>
  </si>
  <si>
    <t>Aava, l'Animal du Roi</t>
  </si>
  <si>
    <t>Avaa</t>
  </si>
  <si>
    <t>07-11 Avaa (DS2)</t>
  </si>
  <si>
    <t>07-12</t>
  </si>
  <si>
    <t>Vieux Roi de Fer</t>
  </si>
  <si>
    <t>07-12 Vieux Roi de Fer (DS2)</t>
  </si>
  <si>
    <t>07-13</t>
  </si>
  <si>
    <t>Chevalier Miroir</t>
  </si>
  <si>
    <t>07-13 Chevalier Miroir (DS2)</t>
  </si>
  <si>
    <t>07-14</t>
  </si>
  <si>
    <t>Pontife Sulyvahn</t>
  </si>
  <si>
    <t>Pontiff Sulyvahn</t>
  </si>
  <si>
    <t>07-14 Pontiff Sulyvahn (DS3)</t>
  </si>
  <si>
    <t>Level 08</t>
  </si>
  <si>
    <t>08-01</t>
  </si>
  <si>
    <t>Guetteur des Flammes</t>
  </si>
  <si>
    <t>Rodeur enflammé</t>
  </si>
  <si>
    <t>Oui</t>
  </si>
  <si>
    <t>08-01 Rodeur enflammé (DeS)</t>
  </si>
  <si>
    <t>08-02</t>
  </si>
  <si>
    <t>Gwyndolin, Soleil Sombre</t>
  </si>
  <si>
    <t>Gwyndolin</t>
  </si>
  <si>
    <t>08-02 Gwyndolin (DS1)</t>
  </si>
  <si>
    <t>08-03</t>
  </si>
  <si>
    <t>Champion Gundyr</t>
  </si>
  <si>
    <t>08-03 Champion Gundyr (DS3)</t>
  </si>
  <si>
    <t>08-04</t>
  </si>
  <si>
    <t>Adjudicateur</t>
  </si>
  <si>
    <t>Juge</t>
  </si>
  <si>
    <t>08-04 Juge (DeS)</t>
  </si>
  <si>
    <t>08-05</t>
  </si>
  <si>
    <t>Le Pourri</t>
  </si>
  <si>
    <t>La Charogne</t>
  </si>
  <si>
    <t>08-05 La Charogne (DS2)</t>
  </si>
  <si>
    <t>08-06</t>
  </si>
  <si>
    <t>Lit du Chaos</t>
  </si>
  <si>
    <t>Foyer du Chaos</t>
  </si>
  <si>
    <t>08-06 Foyer du Chaos (DS1)</t>
  </si>
  <si>
    <t>08-07</t>
  </si>
  <si>
    <t>Vicaire Amelia</t>
  </si>
  <si>
    <t>Amelia</t>
  </si>
  <si>
    <t>08-07 Amelia (BB)</t>
  </si>
  <si>
    <t>08-08</t>
  </si>
  <si>
    <t>Vendrick</t>
  </si>
  <si>
    <t>08-08 Vendrick (DS2)</t>
  </si>
  <si>
    <t>08-09</t>
  </si>
  <si>
    <t>Ébriétas, Fille du Cosmos</t>
  </si>
  <si>
    <t>Ébriétas</t>
  </si>
  <si>
    <t>08-09 Ébriétas (BB)</t>
  </si>
  <si>
    <t>08-10</t>
  </si>
  <si>
    <t>Guetteur des Ténèbres</t>
  </si>
  <si>
    <t>Rodeur sombre</t>
  </si>
  <si>
    <t>08-10 Rodeur sombre (DS2)</t>
  </si>
  <si>
    <t>08-11</t>
  </si>
  <si>
    <t>Micolash, Hôte du Cauchemar</t>
  </si>
  <si>
    <t>Micolash</t>
  </si>
  <si>
    <t>08-11 Micolash (BB)</t>
  </si>
  <si>
    <t>08-12</t>
  </si>
  <si>
    <t>Nashandra</t>
  </si>
  <si>
    <t>08-12 Nashandra (DS2)</t>
  </si>
  <si>
    <t>08-13</t>
  </si>
  <si>
    <t>Veilleurs de l'Abîme</t>
  </si>
  <si>
    <t>Veilleurs des Abysses</t>
  </si>
  <si>
    <t>Level 09</t>
  </si>
  <si>
    <t>09-01</t>
  </si>
  <si>
    <t>Midir le Dévoreur de Ténèbres</t>
  </si>
  <si>
    <t>Midir</t>
  </si>
  <si>
    <t>09-01 Midir (DS3)</t>
  </si>
  <si>
    <t>09-02</t>
  </si>
  <si>
    <t>Chevalier des Fumées</t>
  </si>
  <si>
    <t>Chevalier Fumerolle</t>
  </si>
  <si>
    <t>09-02 Chevalier Fumerolle (DS2)</t>
  </si>
  <si>
    <t>09-03</t>
  </si>
  <si>
    <t>Freja, la Bien-Aimée du Duc</t>
  </si>
  <si>
    <t>Freja</t>
  </si>
  <si>
    <t>09-03 Freja (DS2)</t>
  </si>
  <si>
    <t>09-04</t>
  </si>
  <si>
    <t>Seath le Sans-Écailles</t>
  </si>
  <si>
    <t>Seath</t>
  </si>
  <si>
    <t>09-04 Seath (DS1)</t>
  </si>
  <si>
    <t>09-05</t>
  </si>
  <si>
    <t>Sire Alonne</t>
  </si>
  <si>
    <t>Sir Alonne</t>
  </si>
  <si>
    <t>09-05 Sir Alonne (DS2)</t>
  </si>
  <si>
    <t>09-06</t>
  </si>
  <si>
    <t>Dieu Dragon</t>
  </si>
  <si>
    <t>09-06 Dieu Dragon (DeS)</t>
  </si>
  <si>
    <t>09-07</t>
  </si>
  <si>
    <t>Aldrich, Dévoreur de Dieux</t>
  </si>
  <si>
    <t>Aldrich</t>
  </si>
  <si>
    <t>09-07 Aldrich (DS3)</t>
  </si>
  <si>
    <t>09-08</t>
  </si>
  <si>
    <t>Lorian et Lothric</t>
  </si>
  <si>
    <t>Lorian &amp; Lothric</t>
  </si>
  <si>
    <t>09-09</t>
  </si>
  <si>
    <t>Roi d'Ivoire Calciné</t>
  </si>
  <si>
    <t>Roi d'ivoire</t>
  </si>
  <si>
    <t>09-10</t>
  </si>
  <si>
    <t>Yhorm le Géant</t>
  </si>
  <si>
    <t>Yhorm</t>
  </si>
  <si>
    <t>09-11</t>
  </si>
  <si>
    <t>Nito, Seigneur des Tombes</t>
  </si>
  <si>
    <t>Nito</t>
  </si>
  <si>
    <t>09-12</t>
  </si>
  <si>
    <t>Ludwig le Maudit</t>
  </si>
  <si>
    <t>Ludwig</t>
  </si>
  <si>
    <t>09-13</t>
  </si>
  <si>
    <t>Astraea la Pucelle et Garl Vinland</t>
  </si>
  <si>
    <t>Astraea &amp; Garl</t>
  </si>
  <si>
    <t>Level 10</t>
  </si>
  <si>
    <t>10-01</t>
  </si>
  <si>
    <t>Vieux Roi Allant</t>
  </si>
  <si>
    <t>10-01 Vieux Roi Allant (DeS)</t>
  </si>
  <si>
    <t>10-02</t>
  </si>
  <si>
    <t>Gwyn, Seigneur de Cendre</t>
  </si>
  <si>
    <t>Gwyn</t>
  </si>
  <si>
    <t>10-02 Gwyn (DS1)</t>
  </si>
  <si>
    <t>10-03</t>
  </si>
  <si>
    <t>Ornstein et Smough</t>
  </si>
  <si>
    <t>Ornstein &amp; Smough</t>
  </si>
  <si>
    <t>10-04</t>
  </si>
  <si>
    <t>Manus, Père de l'Abysse</t>
  </si>
  <si>
    <t>Manus</t>
  </si>
  <si>
    <t>10-05</t>
  </si>
  <si>
    <t>Chevalier Artorias</t>
  </si>
  <si>
    <t>Artorias</t>
  </si>
  <si>
    <t>10-06</t>
  </si>
  <si>
    <t>Âme de Cendre</t>
  </si>
  <si>
    <t>10-07</t>
  </si>
  <si>
    <t>Roi Sans Nom</t>
  </si>
  <si>
    <t>10-08</t>
  </si>
  <si>
    <t>Sœur Friede</t>
  </si>
  <si>
    <t>10-09</t>
  </si>
  <si>
    <t>Gael le Chevalier Asservi</t>
  </si>
  <si>
    <t>Gael</t>
  </si>
  <si>
    <t>10-10</t>
  </si>
  <si>
    <t>Présence Lunaire</t>
  </si>
  <si>
    <t>10-11</t>
  </si>
  <si>
    <t>Dame Maria</t>
  </si>
  <si>
    <t>Lady Maria</t>
  </si>
  <si>
    <t>10-12</t>
  </si>
  <si>
    <t>Gehrman, Premier Chasseur</t>
  </si>
  <si>
    <t>Gehrman</t>
  </si>
  <si>
    <t>10-13</t>
  </si>
  <si>
    <t>Orphelin de Kos</t>
  </si>
  <si>
    <t>03-11 Recruteur du Roi Rat (DS2)</t>
  </si>
  <si>
    <t>Recruteur du Roi Rat</t>
  </si>
  <si>
    <t>Surveillant et Defenseur</t>
  </si>
  <si>
    <t>05-10 Surveillant et Defenseur (DS2)</t>
  </si>
  <si>
    <t>Velstadt</t>
  </si>
  <si>
    <t>06-10 Velstadt (DS2)</t>
  </si>
  <si>
    <t>05-02 Seigneur Geant (DS2)</t>
  </si>
  <si>
    <t>Seigneur Geant</t>
  </si>
  <si>
    <t>Colosse impur</t>
  </si>
  <si>
    <t>05-13</t>
  </si>
  <si>
    <t>05-13 Colosse impur (DeS)</t>
  </si>
  <si>
    <t>08-14</t>
  </si>
  <si>
    <t>09-14</t>
  </si>
  <si>
    <t>10-14</t>
  </si>
  <si>
    <t>Sinh</t>
  </si>
  <si>
    <t>Aldia</t>
  </si>
  <si>
    <t>Démon des Tempêtes</t>
  </si>
  <si>
    <t>10-03 Aldia (DS2)</t>
  </si>
  <si>
    <t>09-08 Démon des Tempêtes (DeS)</t>
  </si>
  <si>
    <t>09-09 Lorian &amp; Lothric (DS3)</t>
  </si>
  <si>
    <t>09-10 Roi d'ivoire (DS2)</t>
  </si>
  <si>
    <t>09-11 Yhorm (DS3)</t>
  </si>
  <si>
    <t>09-12 Nito (DS1)</t>
  </si>
  <si>
    <t>09-13 Ludwig (BB)</t>
  </si>
  <si>
    <t>09-14 Astraea &amp; Garl (DeS)</t>
  </si>
  <si>
    <t>10-04 Lady Maria (BB)</t>
  </si>
  <si>
    <t>10-05 Manus (DS1)</t>
  </si>
  <si>
    <t>10-06 Ornstein &amp; Smough (DS1)</t>
  </si>
  <si>
    <t>10-07 Âme de Cendre (DS3)</t>
  </si>
  <si>
    <t>10-08 Présence Lunaire (BB)</t>
  </si>
  <si>
    <t>10-09 Sœur Friede (DS3)</t>
  </si>
  <si>
    <t>10-10 Gael (DS3)</t>
  </si>
  <si>
    <t>10-11 Gehrman (BB)</t>
  </si>
  <si>
    <t>10-12 Roi Sans Nom (DS3)</t>
  </si>
  <si>
    <t>10-13 Artorias (DS1)</t>
  </si>
  <si>
    <t>10-14 Orphelin de Kos (BB)</t>
  </si>
  <si>
    <t>08-13 Sinh (DS2)</t>
  </si>
  <si>
    <t>08-14 Veilleurs des Abysses (DS3)</t>
  </si>
  <si>
    <t>03-09 Grand loup garde-stèle (DS3)</t>
  </si>
  <si>
    <t>Grand loup garde-stèle</t>
  </si>
  <si>
    <t>Lud &amp; Zallen</t>
  </si>
  <si>
    <t>Descendant Pthumérien</t>
  </si>
  <si>
    <t>02-07 Descendant Pthumérien (BB)</t>
  </si>
  <si>
    <t>06-08 Lud &amp; Zallen (DS2)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</si>
</sst>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i/>
      <sz val="12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i/>
      <sz val="12"/>
      <color rgb="FFFFFFFF"/>
      <name val="Arial"/>
      <family val="2"/>
      <charset val="1"/>
    </font>
    <font>
      <b/>
      <sz val="16"/>
      <name val="Calibri"/>
      <family val="2"/>
      <charset val="1"/>
    </font>
    <font>
      <sz val="12"/>
      <name val="Arial"/>
      <family val="2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5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zoomScale="115" zoomScaleNormal="115" workbookViewId="0">
      <pane ySplit="1" topLeftCell="A115" activePane="bottomLeft" state="frozen"/>
      <selection activeCell="G1" sqref="G1"/>
      <selection pane="bottomLeft" activeCell="F100" sqref="F100"/>
    </sheetView>
  </sheetViews>
  <sheetFormatPr baseColWidth="10" defaultColWidth="9.140625" defaultRowHeight="15.75" x14ac:dyDescent="0.25"/>
  <cols>
    <col min="1" max="2" width="10" style="1" customWidth="1"/>
    <col min="3" max="3" width="52.85546875" style="1" customWidth="1"/>
    <col min="4" max="4" width="39.140625" style="1" customWidth="1"/>
    <col min="5" max="5" width="77.7109375" style="1" customWidth="1"/>
    <col min="6" max="6" width="16.7109375" style="2" customWidth="1"/>
    <col min="7" max="7" width="16.7109375" style="1" customWidth="1"/>
    <col min="8" max="8" width="50.42578125" style="1" customWidth="1"/>
    <col min="9" max="9" width="50.28515625" style="1" customWidth="1"/>
    <col min="10" max="16384" width="9.140625" style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9" ht="21" customHeight="1" x14ac:dyDescent="0.25">
      <c r="A2" s="6" t="s">
        <v>7</v>
      </c>
      <c r="B2" s="6"/>
      <c r="C2" s="6"/>
      <c r="D2" s="6"/>
      <c r="E2" s="6"/>
      <c r="F2" s="6"/>
      <c r="G2" s="6"/>
    </row>
    <row r="3" spans="1:9" x14ac:dyDescent="0.25">
      <c r="A3" s="5" t="s">
        <v>8</v>
      </c>
      <c r="B3" s="5" t="s">
        <v>9</v>
      </c>
      <c r="C3" s="5" t="s">
        <v>10</v>
      </c>
      <c r="D3" s="5" t="s">
        <v>10</v>
      </c>
      <c r="E3" s="5" t="str">
        <f t="shared" ref="E3:E14" si="0">"\images\cards\DSBB\"&amp;H3&amp;".png"</f>
        <v>\images\cards\DSBB\01-01 Avant-Garde (DeS).png</v>
      </c>
      <c r="H3" s="1" t="str">
        <f>A3&amp;" "&amp;D3&amp;" "&amp;"("&amp;B3&amp;")"</f>
        <v>01-01 Avant-Garde (DeS)</v>
      </c>
      <c r="I3" s="1" t="s">
        <v>11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14</v>
      </c>
      <c r="E4" s="5" t="str">
        <f t="shared" si="0"/>
        <v>\images\cards\DSBB\01-02 Virevent (DS1).png</v>
      </c>
      <c r="H4" s="1" t="str">
        <f t="shared" ref="H4:H14" si="1">A4&amp;" "&amp;D4&amp;" "&amp;"("&amp;B4&amp;")"</f>
        <v>01-02 Virevent (DS1)</v>
      </c>
      <c r="I4" s="1" t="s">
        <v>15</v>
      </c>
    </row>
    <row r="5" spans="1:9" x14ac:dyDescent="0.25">
      <c r="A5" s="5" t="s">
        <v>16</v>
      </c>
      <c r="B5" s="5" t="s">
        <v>9</v>
      </c>
      <c r="C5" s="5" t="s">
        <v>17</v>
      </c>
      <c r="D5" s="5" t="s">
        <v>17</v>
      </c>
      <c r="E5" s="5" t="str">
        <f t="shared" si="0"/>
        <v>\images\cards\DSBB\01-03 Phalange (DeS).png</v>
      </c>
      <c r="H5" s="1" t="str">
        <f t="shared" si="1"/>
        <v>01-03 Phalange (DeS)</v>
      </c>
      <c r="I5" s="1" t="s">
        <v>18</v>
      </c>
    </row>
    <row r="6" spans="1:9" x14ac:dyDescent="0.25">
      <c r="A6" s="5" t="s">
        <v>19</v>
      </c>
      <c r="B6" s="5" t="s">
        <v>20</v>
      </c>
      <c r="C6" s="5" t="s">
        <v>21</v>
      </c>
      <c r="D6" s="5" t="s">
        <v>21</v>
      </c>
      <c r="E6" s="5" t="str">
        <f t="shared" si="0"/>
        <v>\images\cards\DSBB\01-04 Dernier Géant (DS2).png</v>
      </c>
      <c r="H6" s="1" t="str">
        <f t="shared" si="1"/>
        <v>01-04 Dernier Géant (DS2)</v>
      </c>
      <c r="I6" s="1" t="s">
        <v>22</v>
      </c>
    </row>
    <row r="7" spans="1:9" x14ac:dyDescent="0.25">
      <c r="A7" s="5" t="s">
        <v>23</v>
      </c>
      <c r="B7" s="5" t="s">
        <v>24</v>
      </c>
      <c r="C7" s="5" t="s">
        <v>25</v>
      </c>
      <c r="D7" s="5" t="s">
        <v>25</v>
      </c>
      <c r="E7" s="5" t="str">
        <f t="shared" si="0"/>
        <v>\images\cards\DSBB\01-05 Arbre geant maudit (DS3).png</v>
      </c>
      <c r="F7" s="2" t="s">
        <v>26</v>
      </c>
      <c r="H7" s="1" t="str">
        <f t="shared" si="1"/>
        <v>01-05 Arbre geant maudit (DS3)</v>
      </c>
      <c r="I7" s="1" t="s">
        <v>27</v>
      </c>
    </row>
    <row r="8" spans="1:9" x14ac:dyDescent="0.25">
      <c r="A8" s="5" t="s">
        <v>28</v>
      </c>
      <c r="B8" s="5" t="s">
        <v>13</v>
      </c>
      <c r="C8" s="5" t="s">
        <v>29</v>
      </c>
      <c r="D8" s="5" t="s">
        <v>29</v>
      </c>
      <c r="E8" s="5" t="str">
        <f t="shared" si="0"/>
        <v>\images\cards\DSBB\01-06 Démon Capra (DS1).png</v>
      </c>
      <c r="H8" s="1" t="str">
        <f t="shared" si="1"/>
        <v>01-06 Démon Capra (DS1)</v>
      </c>
      <c r="I8" s="1" t="s">
        <v>30</v>
      </c>
    </row>
    <row r="9" spans="1:9" x14ac:dyDescent="0.25">
      <c r="A9" s="5" t="s">
        <v>31</v>
      </c>
      <c r="B9" s="5" t="s">
        <v>20</v>
      </c>
      <c r="C9" s="5" t="s">
        <v>32</v>
      </c>
      <c r="D9" s="5" t="s">
        <v>32</v>
      </c>
      <c r="E9" s="5" t="str">
        <f t="shared" si="0"/>
        <v>\images\cards\DSBB\01-07 Monte-Dragon (DS2).png</v>
      </c>
      <c r="H9" s="1" t="str">
        <f t="shared" si="1"/>
        <v>01-07 Monte-Dragon (DS2)</v>
      </c>
      <c r="I9" s="1" t="s">
        <v>33</v>
      </c>
    </row>
    <row r="10" spans="1:9" x14ac:dyDescent="0.25">
      <c r="A10" s="5" t="s">
        <v>34</v>
      </c>
      <c r="B10" s="5" t="s">
        <v>35</v>
      </c>
      <c r="C10" s="5" t="s">
        <v>36</v>
      </c>
      <c r="D10" s="5" t="s">
        <v>36</v>
      </c>
      <c r="E10" s="5" t="str">
        <f t="shared" si="0"/>
        <v>\images\cards\DSBB\01-08 Bête Cléricale (BB).png</v>
      </c>
      <c r="H10" s="1" t="str">
        <f t="shared" si="1"/>
        <v>01-08 Bête Cléricale (BB)</v>
      </c>
      <c r="I10" s="1" t="s">
        <v>37</v>
      </c>
    </row>
    <row r="11" spans="1:9" x14ac:dyDescent="0.25">
      <c r="A11" s="5" t="s">
        <v>38</v>
      </c>
      <c r="B11" s="5" t="s">
        <v>24</v>
      </c>
      <c r="C11" s="5" t="s">
        <v>39</v>
      </c>
      <c r="D11" s="5" t="s">
        <v>39</v>
      </c>
      <c r="E11" s="5" t="str">
        <f t="shared" si="0"/>
        <v>\images\cards\DSBB\01-09 Diacres des Profondeurs (DS3).png</v>
      </c>
      <c r="H11" s="1" t="str">
        <f t="shared" si="1"/>
        <v>01-09 Diacres des Profondeurs (DS3)</v>
      </c>
      <c r="I11" s="1" t="s">
        <v>40</v>
      </c>
    </row>
    <row r="12" spans="1:9" x14ac:dyDescent="0.25">
      <c r="A12" s="5" t="s">
        <v>41</v>
      </c>
      <c r="B12" s="5" t="s">
        <v>20</v>
      </c>
      <c r="C12" s="5" t="s">
        <v>42</v>
      </c>
      <c r="D12" s="5" t="s">
        <v>42</v>
      </c>
      <c r="E12" s="5" t="str">
        <f t="shared" si="0"/>
        <v>\images\cards\DSBB\01-10 Démon Convoiteux (DS2).png</v>
      </c>
      <c r="H12" s="1" t="str">
        <f t="shared" si="1"/>
        <v>01-10 Démon Convoiteux (DS2)</v>
      </c>
      <c r="I12" s="1" t="s">
        <v>43</v>
      </c>
    </row>
    <row r="13" spans="1:9" x14ac:dyDescent="0.25">
      <c r="A13" s="5" t="s">
        <v>44</v>
      </c>
      <c r="B13" s="5" t="s">
        <v>13</v>
      </c>
      <c r="C13" s="5" t="s">
        <v>45</v>
      </c>
      <c r="D13" s="5" t="s">
        <v>45</v>
      </c>
      <c r="E13" s="5" t="str">
        <f t="shared" si="0"/>
        <v>\images\cards\DSBB\01-11 Démon Taureau (DS1).png</v>
      </c>
      <c r="H13" s="1" t="str">
        <f t="shared" si="1"/>
        <v>01-11 Démon Taureau (DS1)</v>
      </c>
      <c r="I13" s="1" t="s">
        <v>46</v>
      </c>
    </row>
    <row r="14" spans="1:9" x14ac:dyDescent="0.25">
      <c r="A14" s="5" t="s">
        <v>47</v>
      </c>
      <c r="B14" s="5" t="s">
        <v>35</v>
      </c>
      <c r="C14" s="5" t="s">
        <v>48</v>
      </c>
      <c r="D14" s="5" t="s">
        <v>48</v>
      </c>
      <c r="E14" s="5" t="str">
        <f t="shared" si="0"/>
        <v>\images\cards\DSBB\01-12 Géant Mort-Vivant (BB).png</v>
      </c>
      <c r="H14" s="1" t="str">
        <f t="shared" si="1"/>
        <v>01-12 Géant Mort-Vivant (BB)</v>
      </c>
      <c r="I14" s="1" t="s">
        <v>49</v>
      </c>
    </row>
    <row r="15" spans="1:9" ht="21" customHeight="1" x14ac:dyDescent="0.25">
      <c r="A15" s="6" t="s">
        <v>50</v>
      </c>
      <c r="B15" s="6"/>
      <c r="C15" s="6"/>
      <c r="D15" s="6"/>
      <c r="E15" s="6"/>
      <c r="F15" s="6"/>
      <c r="G15" s="6"/>
    </row>
    <row r="16" spans="1:9" x14ac:dyDescent="0.25">
      <c r="A16" s="5" t="s">
        <v>51</v>
      </c>
      <c r="B16" s="5" t="s">
        <v>24</v>
      </c>
      <c r="C16" s="5" t="s">
        <v>52</v>
      </c>
      <c r="D16" s="5" t="s">
        <v>52</v>
      </c>
      <c r="E16" s="5" t="str">
        <f t="shared" ref="E16:E27" si="2">"\images\cards\DSBB\"&amp;H16&amp;".png"</f>
        <v>\images\cards\DSBB\02-01 Sage de Cristal (DS3).png</v>
      </c>
      <c r="F16" s="2" t="s">
        <v>53</v>
      </c>
      <c r="H16" s="1" t="str">
        <f t="shared" ref="H16:H27" si="3">A16&amp;" "&amp;D16&amp;" "&amp;"("&amp;B16&amp;")"</f>
        <v>02-01 Sage de Cristal (DS3)</v>
      </c>
      <c r="I16" s="1" t="s">
        <v>54</v>
      </c>
    </row>
    <row r="17" spans="1:9" x14ac:dyDescent="0.25">
      <c r="A17" s="5" t="s">
        <v>55</v>
      </c>
      <c r="B17" s="5" t="s">
        <v>35</v>
      </c>
      <c r="C17" s="5" t="s">
        <v>56</v>
      </c>
      <c r="D17" s="5" t="s">
        <v>56</v>
      </c>
      <c r="E17" s="5" t="str">
        <f t="shared" si="2"/>
        <v>\images\cards\DSBB\02-02 Sorcière de Hemwick (BB).png</v>
      </c>
      <c r="H17" s="1" t="str">
        <f t="shared" si="3"/>
        <v>02-02 Sorcière de Hemwick (BB)</v>
      </c>
      <c r="I17" s="1" t="s">
        <v>57</v>
      </c>
    </row>
    <row r="18" spans="1:9" x14ac:dyDescent="0.25">
      <c r="A18" s="5" t="s">
        <v>58</v>
      </c>
      <c r="B18" s="5" t="s">
        <v>20</v>
      </c>
      <c r="C18" s="5" t="s">
        <v>59</v>
      </c>
      <c r="D18" s="5" t="s">
        <v>59</v>
      </c>
      <c r="E18" s="5" t="str">
        <f t="shared" si="2"/>
        <v>\images\cards\DSBB\02-03 Congrégation (DS2).png</v>
      </c>
      <c r="H18" s="1" t="str">
        <f t="shared" si="3"/>
        <v>02-03 Congrégation (DS2)</v>
      </c>
      <c r="I18" s="1" t="s">
        <v>60</v>
      </c>
    </row>
    <row r="19" spans="1:9" x14ac:dyDescent="0.25">
      <c r="A19" s="5" t="s">
        <v>61</v>
      </c>
      <c r="B19" s="5" t="s">
        <v>35</v>
      </c>
      <c r="C19" s="5" t="s">
        <v>62</v>
      </c>
      <c r="D19" s="5" t="s">
        <v>62</v>
      </c>
      <c r="E19" s="5" t="str">
        <f t="shared" si="2"/>
        <v>\images\cards\DSBB\02-04 Émissaire Céleste (BB).png</v>
      </c>
      <c r="H19" s="1" t="str">
        <f t="shared" si="3"/>
        <v>02-04 Émissaire Céleste (BB)</v>
      </c>
      <c r="I19" s="1" t="s">
        <v>63</v>
      </c>
    </row>
    <row r="20" spans="1:9" x14ac:dyDescent="0.25">
      <c r="A20" s="5" t="s">
        <v>64</v>
      </c>
      <c r="B20" s="5" t="s">
        <v>13</v>
      </c>
      <c r="C20" s="5" t="s">
        <v>65</v>
      </c>
      <c r="D20" s="5" t="s">
        <v>65</v>
      </c>
      <c r="E20" s="5" t="str">
        <f t="shared" si="2"/>
        <v>\images\cards\DSBB\02-05 Décharge Incessante (DS1).png</v>
      </c>
      <c r="F20" s="2" t="s">
        <v>66</v>
      </c>
      <c r="H20" s="1" t="str">
        <f t="shared" si="3"/>
        <v>02-05 Décharge Incessante (DS1)</v>
      </c>
      <c r="I20" s="1" t="s">
        <v>67</v>
      </c>
    </row>
    <row r="21" spans="1:9" x14ac:dyDescent="0.25">
      <c r="A21" s="5" t="s">
        <v>68</v>
      </c>
      <c r="B21" s="5" t="s">
        <v>13</v>
      </c>
      <c r="C21" s="5" t="s">
        <v>69</v>
      </c>
      <c r="D21" s="5" t="s">
        <v>69</v>
      </c>
      <c r="E21" s="5" t="str">
        <f t="shared" si="2"/>
        <v>\images\cards\DSBB\02-06 Papillon Lunaire (DS1).png</v>
      </c>
      <c r="H21" s="1" t="str">
        <f t="shared" si="3"/>
        <v>02-06 Papillon Lunaire (DS1)</v>
      </c>
      <c r="I21" s="1" t="s">
        <v>70</v>
      </c>
    </row>
    <row r="22" spans="1:9" x14ac:dyDescent="0.25">
      <c r="A22" s="5" t="s">
        <v>71</v>
      </c>
      <c r="B22" s="5" t="s">
        <v>35</v>
      </c>
      <c r="C22" s="5" t="s">
        <v>478</v>
      </c>
      <c r="D22" s="5" t="s">
        <v>478</v>
      </c>
      <c r="E22" s="5" t="str">
        <f>"\images\cards\DSBB\"&amp;H22&amp;".png"</f>
        <v>\images\cards\DSBB\02-07 Descendant Pthumérien (BB).png</v>
      </c>
      <c r="H22" s="1" t="str">
        <f t="shared" si="3"/>
        <v>02-07 Descendant Pthumérien (BB)</v>
      </c>
      <c r="I22" s="1" t="s">
        <v>479</v>
      </c>
    </row>
    <row r="23" spans="1:9" x14ac:dyDescent="0.25">
      <c r="A23" s="5" t="s">
        <v>72</v>
      </c>
      <c r="B23" s="5" t="s">
        <v>13</v>
      </c>
      <c r="C23" s="5" t="s">
        <v>73</v>
      </c>
      <c r="D23" s="5" t="s">
        <v>73</v>
      </c>
      <c r="E23" s="5" t="str">
        <f t="shared" si="2"/>
        <v>\images\cards\DSBB\02-08 Gargouilles de la Cloche (DS1).png</v>
      </c>
      <c r="H23" s="1" t="str">
        <f t="shared" si="3"/>
        <v>02-08 Gargouilles de la Cloche (DS1)</v>
      </c>
      <c r="I23" s="1" t="s">
        <v>74</v>
      </c>
    </row>
    <row r="24" spans="1:9" x14ac:dyDescent="0.25">
      <c r="A24" s="5" t="s">
        <v>75</v>
      </c>
      <c r="B24" s="5" t="s">
        <v>9</v>
      </c>
      <c r="C24" s="5" t="s">
        <v>76</v>
      </c>
      <c r="D24" s="5" t="s">
        <v>76</v>
      </c>
      <c r="E24" s="5" t="str">
        <f t="shared" si="2"/>
        <v>\images\cards\DSBB\02-09 Araignée Blindée (DeS).png</v>
      </c>
      <c r="H24" s="1" t="str">
        <f t="shared" si="3"/>
        <v>02-09 Araignée Blindée (DeS)</v>
      </c>
      <c r="I24" s="1" t="s">
        <v>77</v>
      </c>
    </row>
    <row r="25" spans="1:9" x14ac:dyDescent="0.25">
      <c r="A25" s="5" t="s">
        <v>78</v>
      </c>
      <c r="B25" s="5" t="s">
        <v>20</v>
      </c>
      <c r="C25" s="5" t="s">
        <v>79</v>
      </c>
      <c r="D25" s="5" t="s">
        <v>79</v>
      </c>
      <c r="E25" s="5" t="str">
        <f t="shared" si="2"/>
        <v>\images\cards\DSBB\02-10 Chariot du Bourreau (DS2).png</v>
      </c>
      <c r="H25" s="1" t="str">
        <f t="shared" si="3"/>
        <v>02-10 Chariot du Bourreau (DS2)</v>
      </c>
      <c r="I25" s="1" t="s">
        <v>80</v>
      </c>
    </row>
    <row r="26" spans="1:9" x14ac:dyDescent="0.25">
      <c r="A26" s="5" t="s">
        <v>81</v>
      </c>
      <c r="B26" s="5" t="s">
        <v>20</v>
      </c>
      <c r="C26" s="5" t="s">
        <v>82</v>
      </c>
      <c r="D26" s="5" t="s">
        <v>82</v>
      </c>
      <c r="E26" s="5" t="str">
        <f t="shared" si="2"/>
        <v>\images\cards\DSBB\02-11 Sentinelle ondoyante (DS2).png</v>
      </c>
      <c r="F26" s="2" t="s">
        <v>83</v>
      </c>
      <c r="H26" s="1" t="str">
        <f t="shared" si="3"/>
        <v>02-11 Sentinelle ondoyante (DS2)</v>
      </c>
      <c r="I26" s="1" t="s">
        <v>84</v>
      </c>
    </row>
    <row r="27" spans="1:9" x14ac:dyDescent="0.25">
      <c r="A27" s="5" t="s">
        <v>85</v>
      </c>
      <c r="B27" s="5" t="s">
        <v>24</v>
      </c>
      <c r="C27" s="5" t="s">
        <v>86</v>
      </c>
      <c r="D27" s="5" t="s">
        <v>86</v>
      </c>
      <c r="E27" s="5" t="str">
        <f t="shared" si="2"/>
        <v>\images\cards\DSBB\02-12 Iudex Gundyr (DS3).png</v>
      </c>
      <c r="H27" s="1" t="str">
        <f t="shared" si="3"/>
        <v>02-12 Iudex Gundyr (DS3)</v>
      </c>
      <c r="I27" s="1" t="s">
        <v>87</v>
      </c>
    </row>
    <row r="28" spans="1:9" ht="21" customHeight="1" x14ac:dyDescent="0.25">
      <c r="A28" s="6" t="s">
        <v>88</v>
      </c>
      <c r="B28" s="6"/>
      <c r="C28" s="6"/>
      <c r="D28" s="6"/>
      <c r="E28" s="6"/>
      <c r="F28" s="6"/>
      <c r="G28" s="6"/>
    </row>
    <row r="29" spans="1:9" x14ac:dyDescent="0.25">
      <c r="A29" s="5" t="s">
        <v>89</v>
      </c>
      <c r="B29" s="5" t="s">
        <v>20</v>
      </c>
      <c r="C29" s="5" t="s">
        <v>90</v>
      </c>
      <c r="D29" s="5" t="s">
        <v>90</v>
      </c>
      <c r="E29" s="5" t="str">
        <f t="shared" ref="E29:E40" si="4">"\images\cards\DSBB\"&amp;H29&amp;".png"</f>
        <v>\images\cards\DSBB\03-01 Gargouilles du Beffroi (DS2).png</v>
      </c>
      <c r="H29" s="1" t="str">
        <f t="shared" ref="H29:H40" si="5">A29&amp;" "&amp;D29&amp;" "&amp;"("&amp;B29&amp;")"</f>
        <v>03-01 Gargouilles du Beffroi (DS2)</v>
      </c>
      <c r="I29" s="1" t="s">
        <v>91</v>
      </c>
    </row>
    <row r="30" spans="1:9" x14ac:dyDescent="0.25">
      <c r="A30" s="5" t="s">
        <v>92</v>
      </c>
      <c r="B30" s="5" t="s">
        <v>13</v>
      </c>
      <c r="C30" s="5" t="s">
        <v>93</v>
      </c>
      <c r="D30" s="5" t="s">
        <v>93</v>
      </c>
      <c r="E30" s="5" t="str">
        <f t="shared" si="4"/>
        <v>\images\cards\DSBB\03-02 Golem de Fer (DS1).png</v>
      </c>
      <c r="F30" s="2" t="s">
        <v>122</v>
      </c>
      <c r="H30" s="1" t="str">
        <f t="shared" si="5"/>
        <v>03-02 Golem de Fer (DS1)</v>
      </c>
      <c r="I30" s="1" t="s">
        <v>94</v>
      </c>
    </row>
    <row r="31" spans="1:9" x14ac:dyDescent="0.25">
      <c r="A31" s="5" t="s">
        <v>95</v>
      </c>
      <c r="B31" s="5" t="s">
        <v>35</v>
      </c>
      <c r="C31" s="5" t="s">
        <v>96</v>
      </c>
      <c r="D31" s="5" t="s">
        <v>97</v>
      </c>
      <c r="E31" s="5" t="str">
        <f t="shared" si="4"/>
        <v>\images\cards\DSBB\03-03 Celui qui renaquit (BB).png</v>
      </c>
      <c r="H31" s="1" t="str">
        <f t="shared" si="5"/>
        <v>03-03 Celui qui renaquit (BB)</v>
      </c>
      <c r="I31" s="1" t="s">
        <v>98</v>
      </c>
    </row>
    <row r="32" spans="1:9" x14ac:dyDescent="0.25">
      <c r="A32" s="5" t="s">
        <v>99</v>
      </c>
      <c r="B32" s="5" t="s">
        <v>9</v>
      </c>
      <c r="C32" s="5" t="s">
        <v>100</v>
      </c>
      <c r="D32" s="5" t="s">
        <v>100</v>
      </c>
      <c r="E32" s="5" t="str">
        <f t="shared" si="4"/>
        <v>\images\cards\DSBB\03-04 Seigneur des Sangsues (DeS).png</v>
      </c>
      <c r="F32" s="2" t="s">
        <v>26</v>
      </c>
      <c r="H32" s="1" t="str">
        <f t="shared" si="5"/>
        <v>03-04 Seigneur des Sangsues (DeS)</v>
      </c>
      <c r="I32" s="1" t="s">
        <v>101</v>
      </c>
    </row>
    <row r="33" spans="1:9" x14ac:dyDescent="0.25">
      <c r="A33" s="5" t="s">
        <v>102</v>
      </c>
      <c r="B33" s="5" t="s">
        <v>24</v>
      </c>
      <c r="C33" s="5" t="s">
        <v>103</v>
      </c>
      <c r="D33" s="5" t="s">
        <v>104</v>
      </c>
      <c r="E33" s="5" t="str">
        <f t="shared" si="4"/>
        <v>\images\cards\DSBB\03-05 Vordt (DS3).png</v>
      </c>
      <c r="F33" s="2" t="s">
        <v>53</v>
      </c>
      <c r="H33" s="1" t="str">
        <f t="shared" si="5"/>
        <v>03-05 Vordt (DS3)</v>
      </c>
      <c r="I33" s="1" t="s">
        <v>105</v>
      </c>
    </row>
    <row r="34" spans="1:9" x14ac:dyDescent="0.25">
      <c r="A34" s="5" t="s">
        <v>106</v>
      </c>
      <c r="B34" s="5" t="s">
        <v>24</v>
      </c>
      <c r="C34" s="5" t="s">
        <v>107</v>
      </c>
      <c r="D34" s="5" t="s">
        <v>108</v>
      </c>
      <c r="E34" s="5" t="str">
        <f t="shared" si="4"/>
        <v>\images\cards\DSBB\03-06 Wolnir (DS3).png</v>
      </c>
      <c r="F34" s="2" t="s">
        <v>109</v>
      </c>
      <c r="H34" s="1" t="str">
        <f t="shared" si="5"/>
        <v>03-06 Wolnir (DS3)</v>
      </c>
      <c r="I34" s="1" t="s">
        <v>110</v>
      </c>
    </row>
    <row r="35" spans="1:9" x14ac:dyDescent="0.25">
      <c r="A35" s="5" t="s">
        <v>111</v>
      </c>
      <c r="B35" s="5" t="s">
        <v>20</v>
      </c>
      <c r="C35" s="5" t="s">
        <v>112</v>
      </c>
      <c r="D35" s="5" t="s">
        <v>112</v>
      </c>
      <c r="E35" s="5" t="str">
        <f t="shared" si="4"/>
        <v>\images\cards\DSBB\03-07 Avant-Garde du Roi Rat (DS2).png</v>
      </c>
      <c r="H35" s="1" t="str">
        <f t="shared" si="5"/>
        <v>03-07 Avant-Garde du Roi Rat (DS2)</v>
      </c>
      <c r="I35" s="1" t="s">
        <v>113</v>
      </c>
    </row>
    <row r="36" spans="1:9" x14ac:dyDescent="0.25">
      <c r="A36" s="5" t="s">
        <v>114</v>
      </c>
      <c r="B36" s="5" t="s">
        <v>20</v>
      </c>
      <c r="C36" s="5" t="s">
        <v>115</v>
      </c>
      <c r="D36" s="5" t="s">
        <v>115</v>
      </c>
      <c r="E36" s="5" t="str">
        <f t="shared" si="4"/>
        <v>\images\cards\DSBB\03-08 Vieux Tueur de Dragons (DS2).png</v>
      </c>
      <c r="F36" s="2" t="s">
        <v>116</v>
      </c>
      <c r="H36" s="1" t="str">
        <f t="shared" si="5"/>
        <v>03-08 Vieux Tueur de Dragons (DS2)</v>
      </c>
      <c r="I36" s="1" t="s">
        <v>117</v>
      </c>
    </row>
    <row r="37" spans="1:9" x14ac:dyDescent="0.25">
      <c r="A37" s="5" t="s">
        <v>118</v>
      </c>
      <c r="B37" s="5" t="s">
        <v>24</v>
      </c>
      <c r="C37" s="5" t="s">
        <v>476</v>
      </c>
      <c r="D37" s="5" t="s">
        <v>476</v>
      </c>
      <c r="E37" s="5" t="str">
        <f t="shared" si="4"/>
        <v>\images\cards\DSBB\03-09 Grand loup garde-stèle (DS3).png</v>
      </c>
      <c r="F37" s="2" t="s">
        <v>53</v>
      </c>
      <c r="H37" s="1" t="str">
        <f t="shared" si="5"/>
        <v>03-09 Grand loup garde-stèle (DS3)</v>
      </c>
      <c r="I37" s="1" t="s">
        <v>475</v>
      </c>
    </row>
    <row r="38" spans="1:9" x14ac:dyDescent="0.25">
      <c r="A38" s="5" t="s">
        <v>119</v>
      </c>
      <c r="B38" s="5" t="s">
        <v>20</v>
      </c>
      <c r="C38" s="5" t="s">
        <v>120</v>
      </c>
      <c r="D38" s="5" t="s">
        <v>121</v>
      </c>
      <c r="E38" s="5" t="str">
        <f t="shared" si="4"/>
        <v>\images\cards\DSBB\03-10 Seigneurs Squelettiques (DS2).png</v>
      </c>
      <c r="F38" s="2" t="s">
        <v>122</v>
      </c>
      <c r="H38" s="1" t="str">
        <f t="shared" si="5"/>
        <v>03-10 Seigneurs Squelettiques (DS2)</v>
      </c>
      <c r="I38" s="1" t="s">
        <v>123</v>
      </c>
    </row>
    <row r="39" spans="1:9" x14ac:dyDescent="0.25">
      <c r="A39" s="5" t="s">
        <v>124</v>
      </c>
      <c r="B39" s="5" t="s">
        <v>20</v>
      </c>
      <c r="C39" s="5" t="s">
        <v>125</v>
      </c>
      <c r="D39" s="5" t="s">
        <v>438</v>
      </c>
      <c r="E39" s="5" t="str">
        <f t="shared" si="4"/>
        <v>\images\cards\DSBB\03-11 Recruteur du Roi Rat (DS2).png</v>
      </c>
      <c r="H39" s="1" t="str">
        <f>A39&amp;" "&amp;D39&amp;" "&amp;"("&amp;B39&amp;")"</f>
        <v>03-11 Recruteur du Roi Rat (DS2)</v>
      </c>
      <c r="I39" s="1" t="s">
        <v>437</v>
      </c>
    </row>
    <row r="40" spans="1:9" x14ac:dyDescent="0.25">
      <c r="A40" s="5" t="s">
        <v>126</v>
      </c>
      <c r="B40" s="5" t="s">
        <v>35</v>
      </c>
      <c r="C40" s="5" t="s">
        <v>127</v>
      </c>
      <c r="D40" s="5" t="s">
        <v>127</v>
      </c>
      <c r="E40" s="5" t="str">
        <f t="shared" si="4"/>
        <v>\images\cards\DSBB\03-12 Bête Assoiffée de Sang (BB).png</v>
      </c>
      <c r="H40" s="1" t="str">
        <f t="shared" si="5"/>
        <v>03-12 Bête Assoiffée de Sang (BB)</v>
      </c>
      <c r="I40" s="1" t="s">
        <v>128</v>
      </c>
    </row>
    <row r="41" spans="1:9" ht="21" customHeight="1" x14ac:dyDescent="0.25">
      <c r="A41" s="6" t="s">
        <v>129</v>
      </c>
      <c r="B41" s="6"/>
      <c r="C41" s="6"/>
      <c r="D41" s="6"/>
      <c r="E41" s="6"/>
      <c r="F41" s="6"/>
      <c r="G41" s="6"/>
    </row>
    <row r="42" spans="1:9" x14ac:dyDescent="0.25">
      <c r="A42" s="5" t="s">
        <v>130</v>
      </c>
      <c r="B42" s="5" t="s">
        <v>20</v>
      </c>
      <c r="C42" s="5" t="s">
        <v>131</v>
      </c>
      <c r="D42" s="5" t="s">
        <v>132</v>
      </c>
      <c r="E42" s="5" t="str">
        <f t="shared" ref="E42:E53" si="6">"\images\cards\DSBB\"&amp;H42&amp;".png"</f>
        <v>\images\cards\DSBB\04-01 Sentinelles des Ruines (DS2).png</v>
      </c>
      <c r="H42" s="1" t="str">
        <f t="shared" ref="H42:H53" si="7">A42&amp;" "&amp;D42&amp;" "&amp;"("&amp;B42&amp;")"</f>
        <v>04-01 Sentinelles des Ruines (DS2)</v>
      </c>
      <c r="I42" s="1" t="s">
        <v>133</v>
      </c>
    </row>
    <row r="43" spans="1:9" x14ac:dyDescent="0.25">
      <c r="A43" s="5" t="s">
        <v>134</v>
      </c>
      <c r="B43" s="5" t="s">
        <v>20</v>
      </c>
      <c r="C43" s="5" t="s">
        <v>135</v>
      </c>
      <c r="D43" s="5" t="s">
        <v>135</v>
      </c>
      <c r="E43" s="5" t="str">
        <f t="shared" si="6"/>
        <v>\images\cards\DSBB\04-02 Poursuivant (DS2).png</v>
      </c>
      <c r="H43" s="1" t="str">
        <f t="shared" si="7"/>
        <v>04-02 Poursuivant (DS2)</v>
      </c>
      <c r="I43" s="1" t="s">
        <v>136</v>
      </c>
    </row>
    <row r="44" spans="1:9" x14ac:dyDescent="0.25">
      <c r="A44" s="5" t="s">
        <v>137</v>
      </c>
      <c r="B44" s="5" t="s">
        <v>9</v>
      </c>
      <c r="C44" s="5" t="s">
        <v>138</v>
      </c>
      <c r="D44" s="5" t="s">
        <v>138</v>
      </c>
      <c r="E44" s="5" t="str">
        <f t="shared" si="6"/>
        <v>\images\cards\DSBB\04-03 Chevalier de la Tour (DeS).png</v>
      </c>
      <c r="H44" s="1" t="str">
        <f t="shared" si="7"/>
        <v>04-03 Chevalier de la Tour (DeS)</v>
      </c>
      <c r="I44" s="1" t="s">
        <v>139</v>
      </c>
    </row>
    <row r="45" spans="1:9" x14ac:dyDescent="0.25">
      <c r="A45" s="5" t="s">
        <v>140</v>
      </c>
      <c r="B45" s="5" t="s">
        <v>13</v>
      </c>
      <c r="C45" s="5" t="s">
        <v>141</v>
      </c>
      <c r="D45" s="5" t="s">
        <v>142</v>
      </c>
      <c r="E45" s="5" t="str">
        <f t="shared" si="6"/>
        <v>\images\cards\DSBB\04-04 Démon de l'Asile (DS1).png</v>
      </c>
      <c r="H45" s="1" t="str">
        <f t="shared" si="7"/>
        <v>04-04 Démon de l'Asile (DS1)</v>
      </c>
      <c r="I45" s="1" t="s">
        <v>143</v>
      </c>
    </row>
    <row r="46" spans="1:9" x14ac:dyDescent="0.25">
      <c r="A46" s="5" t="s">
        <v>144</v>
      </c>
      <c r="B46" s="5" t="s">
        <v>24</v>
      </c>
      <c r="C46" s="5" t="s">
        <v>145</v>
      </c>
      <c r="D46" s="5" t="s">
        <v>146</v>
      </c>
      <c r="E46" s="5" t="str">
        <f t="shared" si="6"/>
        <v>\images\cards\DSBB\04-05 Aube (DS3).png</v>
      </c>
      <c r="F46" s="2" t="s">
        <v>147</v>
      </c>
      <c r="H46" s="1" t="str">
        <f t="shared" si="7"/>
        <v>04-05 Aube (DS3)</v>
      </c>
      <c r="I46" s="1" t="s">
        <v>148</v>
      </c>
    </row>
    <row r="47" spans="1:9" x14ac:dyDescent="0.25">
      <c r="A47" s="5" t="s">
        <v>149</v>
      </c>
      <c r="B47" s="5" t="s">
        <v>35</v>
      </c>
      <c r="C47" s="5" t="s">
        <v>150</v>
      </c>
      <c r="D47" s="5" t="s">
        <v>150</v>
      </c>
      <c r="E47" s="5" t="str">
        <f t="shared" si="6"/>
        <v>\images\cards\DSBB\04-06 Échecs Vivants (BB).png</v>
      </c>
      <c r="H47" s="1" t="str">
        <f t="shared" si="7"/>
        <v>04-06 Échecs Vivants (BB)</v>
      </c>
      <c r="I47" s="1" t="s">
        <v>151</v>
      </c>
    </row>
    <row r="48" spans="1:9" x14ac:dyDescent="0.25">
      <c r="A48" s="5" t="s">
        <v>152</v>
      </c>
      <c r="B48" s="5" t="s">
        <v>20</v>
      </c>
      <c r="C48" s="5" t="s">
        <v>153</v>
      </c>
      <c r="D48" s="5" t="s">
        <v>154</v>
      </c>
      <c r="E48" s="5" t="str">
        <f t="shared" si="6"/>
        <v>\images\cards\DSBB\04-07 Najka (DS2).png</v>
      </c>
      <c r="F48" s="2" t="s">
        <v>26</v>
      </c>
      <c r="H48" s="1" t="str">
        <f t="shared" si="7"/>
        <v>04-07 Najka (DS2)</v>
      </c>
      <c r="I48" s="1" t="s">
        <v>155</v>
      </c>
    </row>
    <row r="49" spans="1:9" x14ac:dyDescent="0.25">
      <c r="A49" s="5" t="s">
        <v>156</v>
      </c>
      <c r="B49" s="5" t="s">
        <v>35</v>
      </c>
      <c r="C49" s="5" t="s">
        <v>157</v>
      </c>
      <c r="D49" s="5" t="s">
        <v>158</v>
      </c>
      <c r="E49" s="5" t="str">
        <f t="shared" si="6"/>
        <v>\images\cards\DSBB\04-08 Paarl (BB).png</v>
      </c>
      <c r="F49" s="2" t="s">
        <v>116</v>
      </c>
      <c r="H49" s="1" t="str">
        <f t="shared" si="7"/>
        <v>04-08 Paarl (BB)</v>
      </c>
      <c r="I49" s="1" t="s">
        <v>159</v>
      </c>
    </row>
    <row r="50" spans="1:9" x14ac:dyDescent="0.25">
      <c r="A50" s="5" t="s">
        <v>160</v>
      </c>
      <c r="B50" s="5" t="s">
        <v>20</v>
      </c>
      <c r="C50" s="5" t="s">
        <v>161</v>
      </c>
      <c r="D50" s="5" t="s">
        <v>161</v>
      </c>
      <c r="E50" s="5" t="str">
        <f t="shared" si="6"/>
        <v>\images\cards\DSBB\04-09 Démon Fondeur (DS2).png</v>
      </c>
      <c r="H50" s="1" t="str">
        <f t="shared" si="7"/>
        <v>04-09 Démon Fondeur (DS2)</v>
      </c>
      <c r="I50" s="1" t="s">
        <v>162</v>
      </c>
    </row>
    <row r="51" spans="1:9" x14ac:dyDescent="0.25">
      <c r="A51" s="5" t="s">
        <v>163</v>
      </c>
      <c r="B51" s="5" t="s">
        <v>35</v>
      </c>
      <c r="C51" s="5" t="s">
        <v>164</v>
      </c>
      <c r="D51" s="5" t="s">
        <v>165</v>
      </c>
      <c r="E51" s="5" t="str">
        <f t="shared" si="6"/>
        <v>\images\cards\DSBB\04-10 Ombres de Yharnam (BB).png</v>
      </c>
      <c r="H51" s="1" t="str">
        <f t="shared" si="7"/>
        <v>04-10 Ombres de Yharnam (BB)</v>
      </c>
      <c r="I51" s="1" t="s">
        <v>166</v>
      </c>
    </row>
    <row r="52" spans="1:9" x14ac:dyDescent="0.25">
      <c r="A52" s="5" t="s">
        <v>167</v>
      </c>
      <c r="B52" s="5" t="s">
        <v>24</v>
      </c>
      <c r="C52" s="5" t="s">
        <v>168</v>
      </c>
      <c r="D52" s="5" t="s">
        <v>168</v>
      </c>
      <c r="E52" s="5" t="str">
        <f t="shared" si="6"/>
        <v>\images\cards\DSBB\04-11 Vieux Roi Démon (DS3).png</v>
      </c>
      <c r="H52" s="1" t="str">
        <f t="shared" si="7"/>
        <v>04-11 Vieux Roi Démon (DS3)</v>
      </c>
      <c r="I52" s="1" t="s">
        <v>169</v>
      </c>
    </row>
    <row r="53" spans="1:9" x14ac:dyDescent="0.25">
      <c r="A53" s="5" t="s">
        <v>170</v>
      </c>
      <c r="B53" s="5" t="s">
        <v>13</v>
      </c>
      <c r="C53" s="5" t="s">
        <v>171</v>
      </c>
      <c r="D53" s="5" t="s">
        <v>171</v>
      </c>
      <c r="E53" s="5" t="str">
        <f t="shared" si="6"/>
        <v>\images\cards\DSBB\04-12 Démon Pyromage (DS1).png</v>
      </c>
      <c r="H53" s="1" t="str">
        <f t="shared" si="7"/>
        <v>04-12 Démon Pyromage (DS1)</v>
      </c>
      <c r="I53" s="1" t="s">
        <v>172</v>
      </c>
    </row>
    <row r="54" spans="1:9" ht="21" customHeight="1" x14ac:dyDescent="0.25">
      <c r="A54" s="6" t="s">
        <v>173</v>
      </c>
      <c r="B54" s="6"/>
      <c r="C54" s="6"/>
      <c r="D54" s="6"/>
      <c r="E54" s="6"/>
      <c r="F54" s="6"/>
      <c r="G54" s="6"/>
    </row>
    <row r="55" spans="1:9" x14ac:dyDescent="0.25">
      <c r="A55" s="5" t="s">
        <v>174</v>
      </c>
      <c r="B55" s="5" t="s">
        <v>35</v>
      </c>
      <c r="C55" s="5" t="s">
        <v>175</v>
      </c>
      <c r="D55" s="5" t="s">
        <v>176</v>
      </c>
      <c r="E55" s="5" t="str">
        <f t="shared" ref="E55:E67" si="8">"\images\cards\DSBB\"&amp;H55&amp;".png"</f>
        <v>\images\cards\DSBB\05-01 Rom (BB).png</v>
      </c>
      <c r="F55" s="2" t="s">
        <v>83</v>
      </c>
      <c r="H55" s="1" t="str">
        <f t="shared" ref="H55:H67" si="9">A55&amp;" "&amp;D55&amp;" "&amp;"("&amp;B55&amp;")"</f>
        <v>05-01 Rom (BB)</v>
      </c>
      <c r="I55" s="1" t="s">
        <v>177</v>
      </c>
    </row>
    <row r="56" spans="1:9" x14ac:dyDescent="0.25">
      <c r="A56" s="5" t="s">
        <v>178</v>
      </c>
      <c r="B56" s="5" t="s">
        <v>20</v>
      </c>
      <c r="C56" s="5" t="s">
        <v>444</v>
      </c>
      <c r="D56" s="5" t="s">
        <v>444</v>
      </c>
      <c r="E56" s="5" t="str">
        <f t="shared" si="8"/>
        <v>\images\cards\DSBB\05-02 Seigneur Geant (DS2).png</v>
      </c>
      <c r="H56" s="1" t="str">
        <f t="shared" si="9"/>
        <v>05-02 Seigneur Geant (DS2)</v>
      </c>
      <c r="I56" s="1" t="s">
        <v>443</v>
      </c>
    </row>
    <row r="57" spans="1:9" x14ac:dyDescent="0.25">
      <c r="A57" s="5" t="s">
        <v>179</v>
      </c>
      <c r="B57" s="5" t="s">
        <v>9</v>
      </c>
      <c r="C57" s="5" t="s">
        <v>184</v>
      </c>
      <c r="D57" s="5" t="s">
        <v>184</v>
      </c>
      <c r="E57" s="5" t="str">
        <f>"\images\cards\DSBB\"&amp;H58&amp;".png"</f>
        <v>\images\cards\DSBB\05-04 Idole des Fous (DeS).png</v>
      </c>
      <c r="F57" s="2" t="s">
        <v>181</v>
      </c>
      <c r="H57" s="1" t="e">
        <f>A57&amp;" "&amp;#REF!&amp;" "&amp;"("&amp;#REF!&amp;")"</f>
        <v>#REF!</v>
      </c>
      <c r="I57" s="1" t="s">
        <v>182</v>
      </c>
    </row>
    <row r="58" spans="1:9" x14ac:dyDescent="0.25">
      <c r="A58" s="5" t="s">
        <v>183</v>
      </c>
      <c r="B58" s="5" t="s">
        <v>13</v>
      </c>
      <c r="C58" s="5" t="s">
        <v>187</v>
      </c>
      <c r="D58" s="5" t="s">
        <v>187</v>
      </c>
      <c r="E58" s="5" t="str">
        <f>"\images\cards\DSBB\"&amp;H59&amp;".png"</f>
        <v>\images\cards\DSBB\05-05 Gardien du Sanctuaire (DS1).png</v>
      </c>
      <c r="F58" s="2" t="s">
        <v>181</v>
      </c>
      <c r="H58" s="1" t="str">
        <f>A58&amp;" "&amp;D57&amp;" "&amp;"("&amp;B57&amp;")"</f>
        <v>05-04 Idole des Fous (DeS)</v>
      </c>
      <c r="I58" s="1" t="s">
        <v>185</v>
      </c>
    </row>
    <row r="59" spans="1:9" x14ac:dyDescent="0.25">
      <c r="A59" s="5" t="s">
        <v>186</v>
      </c>
      <c r="B59" s="5" t="s">
        <v>35</v>
      </c>
      <c r="C59" s="5" t="s">
        <v>190</v>
      </c>
      <c r="D59" s="5" t="s">
        <v>190</v>
      </c>
      <c r="E59" s="5" t="str">
        <f>"\images\cards\DSBB\"&amp;H60&amp;".png"</f>
        <v>\images\cards\DSBB\05-06 Amygdala (BB).png</v>
      </c>
      <c r="H59" s="1" t="str">
        <f>A59&amp;" "&amp;D58&amp;" "&amp;"("&amp;B58&amp;")"</f>
        <v>05-05 Gardien du Sanctuaire (DS1)</v>
      </c>
      <c r="I59" s="1" t="s">
        <v>188</v>
      </c>
    </row>
    <row r="60" spans="1:9" x14ac:dyDescent="0.25">
      <c r="A60" s="5" t="s">
        <v>189</v>
      </c>
      <c r="B60" s="5" t="s">
        <v>13</v>
      </c>
      <c r="C60" s="5" t="s">
        <v>193</v>
      </c>
      <c r="D60" s="5" t="s">
        <v>193</v>
      </c>
      <c r="E60" s="5" t="str">
        <f>"\images\cards\DSBB\"&amp;H61&amp;".png"</f>
        <v>\images\cards\DSBB\05-07 Dragon Béant (DS1).png</v>
      </c>
      <c r="H60" s="1" t="str">
        <f>A60&amp;" "&amp;D59&amp;" "&amp;"("&amp;B59&amp;")"</f>
        <v>05-06 Amygdala (BB)</v>
      </c>
      <c r="I60" s="1" t="s">
        <v>191</v>
      </c>
    </row>
    <row r="61" spans="1:9" x14ac:dyDescent="0.25">
      <c r="A61" s="5" t="s">
        <v>192</v>
      </c>
      <c r="B61" s="5" t="s">
        <v>24</v>
      </c>
      <c r="C61" s="5" t="s">
        <v>196</v>
      </c>
      <c r="D61" s="5" t="s">
        <v>197</v>
      </c>
      <c r="E61" s="5" t="str">
        <f>"\images\cards\DSBB\"&amp;H62&amp;".png"</f>
        <v>\images\cards\DSBB\05-08 Océiros (DS3).png</v>
      </c>
      <c r="H61" s="1" t="str">
        <f>A61&amp;" "&amp;D60&amp;" "&amp;"("&amp;B60&amp;")"</f>
        <v>05-07 Dragon Béant (DS1)</v>
      </c>
      <c r="I61" s="1" t="s">
        <v>194</v>
      </c>
    </row>
    <row r="62" spans="1:9" x14ac:dyDescent="0.25">
      <c r="A62" s="5" t="s">
        <v>195</v>
      </c>
      <c r="B62" s="5" t="s">
        <v>20</v>
      </c>
      <c r="C62" s="5" t="s">
        <v>228</v>
      </c>
      <c r="D62" s="5" t="s">
        <v>228</v>
      </c>
      <c r="H62" s="1" t="str">
        <f>A62&amp;" "&amp;D61&amp;" "&amp;"("&amp;B61&amp;")"</f>
        <v>05-08 Océiros (DS3)</v>
      </c>
      <c r="I62" s="1" t="s">
        <v>198</v>
      </c>
    </row>
    <row r="63" spans="1:9" x14ac:dyDescent="0.25">
      <c r="A63" s="5" t="s">
        <v>199</v>
      </c>
      <c r="B63" s="5" t="s">
        <v>9</v>
      </c>
      <c r="C63" s="5" t="s">
        <v>200</v>
      </c>
      <c r="D63" s="5" t="s">
        <v>200</v>
      </c>
      <c r="E63" s="5" t="str">
        <f t="shared" si="8"/>
        <v>\images\cards\DSBB\05-09 Vieux Héros (DeS).png</v>
      </c>
      <c r="F63" s="2" t="s">
        <v>122</v>
      </c>
      <c r="H63" s="1" t="str">
        <f t="shared" si="9"/>
        <v>05-09 Vieux Héros (DeS)</v>
      </c>
      <c r="I63" s="1" t="s">
        <v>201</v>
      </c>
    </row>
    <row r="64" spans="1:9" x14ac:dyDescent="0.25">
      <c r="A64" s="5" t="s">
        <v>202</v>
      </c>
      <c r="B64" s="5" t="s">
        <v>20</v>
      </c>
      <c r="C64" s="5" t="s">
        <v>203</v>
      </c>
      <c r="D64" s="5" t="s">
        <v>439</v>
      </c>
      <c r="E64" s="5" t="str">
        <f t="shared" si="8"/>
        <v>\images\cards\DSBB\05-10 Surveillant et Defenseur (DS2).png</v>
      </c>
      <c r="H64" s="1" t="str">
        <f t="shared" si="9"/>
        <v>05-10 Surveillant et Defenseur (DS2)</v>
      </c>
      <c r="I64" s="1" t="s">
        <v>440</v>
      </c>
    </row>
    <row r="65" spans="1:9" x14ac:dyDescent="0.25">
      <c r="A65" s="5" t="s">
        <v>204</v>
      </c>
      <c r="B65" s="5" t="s">
        <v>20</v>
      </c>
      <c r="C65" s="5" t="s">
        <v>205</v>
      </c>
      <c r="D65" s="5" t="s">
        <v>206</v>
      </c>
      <c r="E65" s="5" t="str">
        <f>"\images\cards\DSBB\"&amp;H65&amp;".png"</f>
        <v>\images\cards\DSBB\05-11 Pilleur, Varg &amp; Cerah (DS2).png</v>
      </c>
      <c r="F65" s="2" t="s">
        <v>122</v>
      </c>
      <c r="H65" s="1" t="str">
        <f t="shared" si="9"/>
        <v>05-11 Pilleur, Varg &amp; Cerah (DS2)</v>
      </c>
      <c r="I65" s="1" t="s">
        <v>207</v>
      </c>
    </row>
    <row r="66" spans="1:9" x14ac:dyDescent="0.25">
      <c r="A66" s="5" t="s">
        <v>208</v>
      </c>
      <c r="B66" s="5" t="s">
        <v>20</v>
      </c>
      <c r="C66" s="5" t="s">
        <v>209</v>
      </c>
      <c r="D66" s="5" t="s">
        <v>210</v>
      </c>
      <c r="E66" s="5" t="str">
        <f t="shared" ref="E66" si="10">"\images\cards\DSBB\"&amp;H66&amp;".png"</f>
        <v>\images\cards\DSBB\05-12 Mytha (DS2).png</v>
      </c>
      <c r="F66" s="2" t="s">
        <v>26</v>
      </c>
      <c r="H66" s="1" t="str">
        <f t="shared" ref="H66" si="11">A66&amp;" "&amp;D66&amp;" "&amp;"("&amp;B66&amp;")"</f>
        <v>05-12 Mytha (DS2)</v>
      </c>
      <c r="I66" s="1" t="s">
        <v>211</v>
      </c>
    </row>
    <row r="67" spans="1:9" x14ac:dyDescent="0.25">
      <c r="A67" s="5" t="s">
        <v>446</v>
      </c>
      <c r="B67" s="5" t="s">
        <v>9</v>
      </c>
      <c r="C67" s="5" t="s">
        <v>445</v>
      </c>
      <c r="D67" s="5" t="s">
        <v>445</v>
      </c>
      <c r="E67" s="5" t="str">
        <f t="shared" si="8"/>
        <v>\images\cards\DSBB\05-13 Colosse impur (DeS).png</v>
      </c>
      <c r="F67" s="2" t="s">
        <v>26</v>
      </c>
      <c r="H67" s="1" t="str">
        <f t="shared" si="9"/>
        <v>05-13 Colosse impur (DeS)</v>
      </c>
      <c r="I67" s="1" t="s">
        <v>447</v>
      </c>
    </row>
    <row r="68" spans="1:9" ht="21" customHeight="1" x14ac:dyDescent="0.25">
      <c r="A68" s="6" t="s">
        <v>212</v>
      </c>
      <c r="B68" s="6"/>
      <c r="C68" s="6"/>
      <c r="D68" s="6"/>
      <c r="E68" s="6"/>
      <c r="F68" s="6"/>
      <c r="G68" s="6"/>
    </row>
    <row r="69" spans="1:9" x14ac:dyDescent="0.25">
      <c r="A69" s="5" t="s">
        <v>213</v>
      </c>
      <c r="B69" s="5" t="s">
        <v>24</v>
      </c>
      <c r="C69" s="5" t="s">
        <v>214</v>
      </c>
      <c r="D69" s="5" t="s">
        <v>214</v>
      </c>
      <c r="E69" s="5" t="str">
        <f t="shared" ref="E69:E81" si="12">"\images\cards\DSBB\"&amp;H69&amp;".png"</f>
        <v>\images\cards\DSBB\06-01 Prince Démon (DS3).png</v>
      </c>
      <c r="H69" s="1" t="str">
        <f t="shared" ref="H69:H81" si="13">A69&amp;" "&amp;D69&amp;" "&amp;"("&amp;B69&amp;")"</f>
        <v>06-01 Prince Démon (DS3)</v>
      </c>
      <c r="I69" s="1" t="s">
        <v>215</v>
      </c>
    </row>
    <row r="70" spans="1:9" x14ac:dyDescent="0.25">
      <c r="A70" s="5" t="s">
        <v>216</v>
      </c>
      <c r="B70" s="5" t="s">
        <v>13</v>
      </c>
      <c r="C70" s="5" t="s">
        <v>217</v>
      </c>
      <c r="D70" s="5" t="s">
        <v>218</v>
      </c>
      <c r="E70" s="5" t="str">
        <f t="shared" si="12"/>
        <v>\images\cards\DSBB\06-02 Demon Centipede (DS1).png</v>
      </c>
      <c r="H70" s="1" t="str">
        <f t="shared" si="13"/>
        <v>06-02 Demon Centipede (DS1)</v>
      </c>
      <c r="I70" s="1" t="s">
        <v>219</v>
      </c>
    </row>
    <row r="71" spans="1:9" x14ac:dyDescent="0.25">
      <c r="A71" s="5" t="s">
        <v>220</v>
      </c>
      <c r="B71" s="5" t="s">
        <v>13</v>
      </c>
      <c r="C71" s="5" t="s">
        <v>221</v>
      </c>
      <c r="D71" s="5" t="s">
        <v>222</v>
      </c>
      <c r="E71" s="5" t="str">
        <f t="shared" si="12"/>
        <v>\images\cards\DSBB\06-03 Quelaag (DS1).png</v>
      </c>
      <c r="F71" s="2" t="s">
        <v>66</v>
      </c>
      <c r="H71" s="1" t="str">
        <f t="shared" si="13"/>
        <v>06-03 Quelaag (DS1)</v>
      </c>
      <c r="I71" s="1" t="s">
        <v>223</v>
      </c>
    </row>
    <row r="72" spans="1:9" x14ac:dyDescent="0.25">
      <c r="A72" s="5" t="s">
        <v>224</v>
      </c>
      <c r="B72" s="5" t="s">
        <v>35</v>
      </c>
      <c r="C72" s="5" t="s">
        <v>225</v>
      </c>
      <c r="D72" s="5" t="s">
        <v>225</v>
      </c>
      <c r="E72" s="5" t="str">
        <f t="shared" si="12"/>
        <v>\images\cards\DSBB\06-04 Père Gascoigne (BB).png</v>
      </c>
      <c r="H72" s="1" t="str">
        <f t="shared" si="13"/>
        <v>06-04 Père Gascoigne (BB)</v>
      </c>
      <c r="I72" s="1" t="s">
        <v>226</v>
      </c>
    </row>
    <row r="73" spans="1:9" x14ac:dyDescent="0.25">
      <c r="A73" s="5" t="s">
        <v>227</v>
      </c>
      <c r="B73" s="5" t="s">
        <v>20</v>
      </c>
      <c r="C73" s="5" t="s">
        <v>180</v>
      </c>
      <c r="D73" s="5" t="s">
        <v>180</v>
      </c>
      <c r="E73" s="5" t="str">
        <f t="shared" si="12"/>
        <v>\images\cards\DSBB\06-05 Dragon Ancien (DS2).png</v>
      </c>
      <c r="H73" s="1" t="str">
        <f t="shared" si="13"/>
        <v>06-05 Dragon Ancien (DS2)</v>
      </c>
      <c r="I73" s="1" t="s">
        <v>229</v>
      </c>
    </row>
    <row r="74" spans="1:9" x14ac:dyDescent="0.25">
      <c r="A74" s="5" t="s">
        <v>230</v>
      </c>
      <c r="B74" s="5" t="s">
        <v>9</v>
      </c>
      <c r="C74" s="5" t="s">
        <v>231</v>
      </c>
      <c r="D74" s="5" t="s">
        <v>231</v>
      </c>
      <c r="E74" s="5" t="str">
        <f t="shared" si="12"/>
        <v>\images\cards\DSBB\06-06 Pénétrateur (DeS).png</v>
      </c>
      <c r="H74" s="1" t="str">
        <f t="shared" si="13"/>
        <v>06-06 Pénétrateur (DeS)</v>
      </c>
      <c r="I74" s="1" t="s">
        <v>232</v>
      </c>
    </row>
    <row r="75" spans="1:9" x14ac:dyDescent="0.25">
      <c r="A75" s="5" t="s">
        <v>233</v>
      </c>
      <c r="B75" s="5" t="s">
        <v>24</v>
      </c>
      <c r="C75" s="5" t="s">
        <v>234</v>
      </c>
      <c r="D75" s="5" t="s">
        <v>235</v>
      </c>
      <c r="E75" s="5" t="str">
        <f t="shared" si="12"/>
        <v>\images\cards\DSBB\06-07 Vouivre Ancienne (DS3).png</v>
      </c>
      <c r="H75" s="1" t="str">
        <f t="shared" si="13"/>
        <v>06-07 Vouivre Ancienne (DS3)</v>
      </c>
      <c r="I75" s="1" t="s">
        <v>236</v>
      </c>
    </row>
    <row r="76" spans="1:9" x14ac:dyDescent="0.25">
      <c r="A76" s="5" t="s">
        <v>237</v>
      </c>
      <c r="B76" s="5" t="s">
        <v>20</v>
      </c>
      <c r="C76" s="5" t="s">
        <v>477</v>
      </c>
      <c r="D76" s="5" t="s">
        <v>477</v>
      </c>
      <c r="E76" s="5" t="str">
        <f t="shared" si="12"/>
        <v>\images\cards\DSBB\06-08 Lud &amp; Zallen (DS2).png</v>
      </c>
      <c r="H76" s="1" t="str">
        <f t="shared" si="13"/>
        <v>06-08 Lud &amp; Zallen (DS2)</v>
      </c>
      <c r="I76" s="1" t="s">
        <v>480</v>
      </c>
    </row>
    <row r="77" spans="1:9" x14ac:dyDescent="0.25">
      <c r="A77" s="5" t="s">
        <v>238</v>
      </c>
      <c r="B77" s="5" t="s">
        <v>20</v>
      </c>
      <c r="C77" s="5" t="s">
        <v>239</v>
      </c>
      <c r="D77" s="5" t="s">
        <v>240</v>
      </c>
      <c r="E77" s="5" t="str">
        <f t="shared" si="12"/>
        <v>\images\cards\DSBB\06-09 Pécheresse Oubliée (DS2).png</v>
      </c>
      <c r="H77" s="1" t="str">
        <f t="shared" si="13"/>
        <v>06-09 Pécheresse Oubliée (DS2)</v>
      </c>
      <c r="I77" s="1" t="s">
        <v>241</v>
      </c>
    </row>
    <row r="78" spans="1:9" x14ac:dyDescent="0.25">
      <c r="A78" s="5" t="s">
        <v>242</v>
      </c>
      <c r="B78" s="5" t="s">
        <v>20</v>
      </c>
      <c r="C78" s="5" t="s">
        <v>441</v>
      </c>
      <c r="D78" s="5" t="s">
        <v>441</v>
      </c>
      <c r="E78" s="5" t="str">
        <f t="shared" si="12"/>
        <v>\images\cards\DSBB\06-10 Velstadt (DS2).png</v>
      </c>
      <c r="F78" s="2" t="s">
        <v>147</v>
      </c>
      <c r="H78" s="1" t="str">
        <f t="shared" si="13"/>
        <v>06-10 Velstadt (DS2)</v>
      </c>
      <c r="I78" s="1" t="s">
        <v>442</v>
      </c>
    </row>
    <row r="79" spans="1:9" x14ac:dyDescent="0.25">
      <c r="A79" s="5" t="s">
        <v>243</v>
      </c>
      <c r="B79" s="5" t="s">
        <v>20</v>
      </c>
      <c r="C79" s="5" t="s">
        <v>244</v>
      </c>
      <c r="D79" s="5" t="s">
        <v>244</v>
      </c>
      <c r="E79" s="5" t="str">
        <f t="shared" si="12"/>
        <v>\images\cards\DSBB\06-11 Démon Fondeur Bleu (DS2).png</v>
      </c>
      <c r="H79" s="1" t="str">
        <f t="shared" si="13"/>
        <v>06-11 Démon Fondeur Bleu (DS2)</v>
      </c>
      <c r="I79" s="1" t="s">
        <v>245</v>
      </c>
    </row>
    <row r="80" spans="1:9" x14ac:dyDescent="0.25">
      <c r="A80" s="5" t="s">
        <v>246</v>
      </c>
      <c r="B80" s="5" t="s">
        <v>24</v>
      </c>
      <c r="C80" s="5" t="s">
        <v>247</v>
      </c>
      <c r="D80" s="5" t="s">
        <v>247</v>
      </c>
      <c r="E80" s="5" t="str">
        <f t="shared" si="12"/>
        <v>\images\cards\DSBB\06-12 Danseuse de la Vallée Boréale (DS3).png</v>
      </c>
      <c r="F80" s="2" t="s">
        <v>53</v>
      </c>
      <c r="H80" s="1" t="str">
        <f t="shared" si="13"/>
        <v>06-12 Danseuse de la Vallée Boréale (DS3)</v>
      </c>
      <c r="I80" s="1" t="s">
        <v>248</v>
      </c>
    </row>
    <row r="81" spans="1:9" x14ac:dyDescent="0.25">
      <c r="A81" s="5" t="s">
        <v>249</v>
      </c>
      <c r="B81" s="5" t="s">
        <v>20</v>
      </c>
      <c r="C81" s="5" t="s">
        <v>250</v>
      </c>
      <c r="D81" s="5" t="s">
        <v>250</v>
      </c>
      <c r="E81" s="5" t="str">
        <f t="shared" si="12"/>
        <v>\images\cards\DSBB\06-13 Démon du Chant (DS2).png</v>
      </c>
      <c r="F81" s="2" t="s">
        <v>83</v>
      </c>
      <c r="H81" s="1" t="str">
        <f t="shared" si="13"/>
        <v>06-13 Démon du Chant (DS2)</v>
      </c>
      <c r="I81" s="1" t="s">
        <v>251</v>
      </c>
    </row>
    <row r="82" spans="1:9" ht="21" customHeight="1" x14ac:dyDescent="0.25">
      <c r="A82" s="6" t="s">
        <v>252</v>
      </c>
      <c r="B82" s="6"/>
      <c r="C82" s="6"/>
      <c r="D82" s="6"/>
      <c r="E82" s="6"/>
      <c r="F82" s="6"/>
      <c r="G82" s="6"/>
    </row>
    <row r="83" spans="1:9" x14ac:dyDescent="0.25">
      <c r="A83" s="5" t="s">
        <v>253</v>
      </c>
      <c r="B83" s="5" t="s">
        <v>13</v>
      </c>
      <c r="C83" s="5" t="s">
        <v>254</v>
      </c>
      <c r="D83" s="5" t="s">
        <v>255</v>
      </c>
      <c r="E83" s="5" t="str">
        <f t="shared" ref="E83:E96" si="14">"\images\cards\DSBB\"&amp;H83&amp;".png"</f>
        <v>\images\cards\DSBB\07-01 Kalameet (DS1).png</v>
      </c>
      <c r="F83" s="2" t="s">
        <v>109</v>
      </c>
      <c r="H83" s="1" t="str">
        <f t="shared" ref="H83:H96" si="15">A83&amp;" "&amp;D83&amp;" "&amp;"("&amp;B83&amp;")"</f>
        <v>07-01 Kalameet (DS1)</v>
      </c>
      <c r="I83" s="1" t="s">
        <v>256</v>
      </c>
    </row>
    <row r="84" spans="1:9" x14ac:dyDescent="0.25">
      <c r="A84" s="5" t="s">
        <v>257</v>
      </c>
      <c r="B84" s="5" t="s">
        <v>9</v>
      </c>
      <c r="C84" s="5" t="s">
        <v>258</v>
      </c>
      <c r="D84" s="5" t="s">
        <v>259</v>
      </c>
      <c r="E84" s="5" t="str">
        <f t="shared" si="14"/>
        <v>\images\cards\DSBB\07-02 Moine Sénile (DeS).png</v>
      </c>
      <c r="H84" s="1" t="str">
        <f t="shared" si="15"/>
        <v>07-02 Moine Sénile (DeS)</v>
      </c>
      <c r="I84" s="1" t="s">
        <v>260</v>
      </c>
    </row>
    <row r="85" spans="1:9" x14ac:dyDescent="0.25">
      <c r="A85" s="5" t="s">
        <v>261</v>
      </c>
      <c r="B85" s="5" t="s">
        <v>35</v>
      </c>
      <c r="C85" s="5" t="s">
        <v>262</v>
      </c>
      <c r="D85" s="5" t="s">
        <v>263</v>
      </c>
      <c r="E85" s="5" t="str">
        <f t="shared" si="14"/>
        <v>\images\cards\DSBB\07-03 Logarius (BB).png</v>
      </c>
      <c r="H85" s="1" t="str">
        <f t="shared" si="15"/>
        <v>07-03 Logarius (BB)</v>
      </c>
      <c r="I85" s="1" t="s">
        <v>264</v>
      </c>
    </row>
    <row r="86" spans="1:9" x14ac:dyDescent="0.25">
      <c r="A86" s="5" t="s">
        <v>265</v>
      </c>
      <c r="B86" s="5" t="s">
        <v>13</v>
      </c>
      <c r="C86" s="5" t="s">
        <v>266</v>
      </c>
      <c r="D86" s="5" t="s">
        <v>267</v>
      </c>
      <c r="E86" s="5" t="str">
        <f t="shared" si="14"/>
        <v>\images\cards\DSBB\07-04 Sif (DS1).png</v>
      </c>
      <c r="H86" s="1" t="str">
        <f t="shared" si="15"/>
        <v>07-04 Sif (DS1)</v>
      </c>
      <c r="I86" s="1" t="s">
        <v>268</v>
      </c>
    </row>
    <row r="87" spans="1:9" x14ac:dyDescent="0.25">
      <c r="A87" s="5" t="s">
        <v>269</v>
      </c>
      <c r="B87" s="5" t="s">
        <v>20</v>
      </c>
      <c r="C87" s="5" t="s">
        <v>270</v>
      </c>
      <c r="D87" s="5" t="s">
        <v>271</v>
      </c>
      <c r="E87" s="5" t="str">
        <f t="shared" si="14"/>
        <v>\images\cards\DSBB\07-05 Elana (DS2).png</v>
      </c>
      <c r="H87" s="1" t="str">
        <f t="shared" si="15"/>
        <v>07-05 Elana (DS2)</v>
      </c>
      <c r="I87" s="1" t="s">
        <v>272</v>
      </c>
    </row>
    <row r="88" spans="1:9" x14ac:dyDescent="0.25">
      <c r="A88" s="5" t="s">
        <v>273</v>
      </c>
      <c r="B88" s="5" t="s">
        <v>9</v>
      </c>
      <c r="C88" s="5" t="s">
        <v>274</v>
      </c>
      <c r="D88" s="5" t="s">
        <v>275</v>
      </c>
      <c r="E88" s="5" t="str">
        <f t="shared" si="14"/>
        <v>\images\cards\DSBB\07-06 Anthropophage (DeS).png</v>
      </c>
      <c r="F88" s="2" t="s">
        <v>181</v>
      </c>
      <c r="H88" s="1" t="str">
        <f t="shared" si="15"/>
        <v>07-06 Anthropophage (DeS)</v>
      </c>
      <c r="I88" s="1" t="s">
        <v>276</v>
      </c>
    </row>
    <row r="89" spans="1:9" x14ac:dyDescent="0.25">
      <c r="A89" s="5" t="s">
        <v>277</v>
      </c>
      <c r="B89" s="5" t="s">
        <v>35</v>
      </c>
      <c r="C89" s="5" t="s">
        <v>278</v>
      </c>
      <c r="D89" s="5" t="s">
        <v>278</v>
      </c>
      <c r="E89" s="5" t="str">
        <f t="shared" si="14"/>
        <v>\images\cards\DSBB\07-07 Nourrice de Mergo (BB).png</v>
      </c>
      <c r="H89" s="1" t="str">
        <f t="shared" si="15"/>
        <v>07-07 Nourrice de Mergo (BB)</v>
      </c>
      <c r="I89" s="1" t="s">
        <v>279</v>
      </c>
    </row>
    <row r="90" spans="1:9" x14ac:dyDescent="0.25">
      <c r="A90" s="5" t="s">
        <v>280</v>
      </c>
      <c r="B90" s="5" t="s">
        <v>13</v>
      </c>
      <c r="C90" s="5" t="s">
        <v>281</v>
      </c>
      <c r="D90" s="5" t="s">
        <v>281</v>
      </c>
      <c r="E90" s="5" t="str">
        <f t="shared" si="14"/>
        <v>\images\cards\DSBB\07-08 Quatre Rois (DS1).png</v>
      </c>
      <c r="H90" s="1" t="str">
        <f t="shared" si="15"/>
        <v>07-08 Quatre Rois (DS1)</v>
      </c>
      <c r="I90" s="1" t="s">
        <v>282</v>
      </c>
    </row>
    <row r="91" spans="1:9" x14ac:dyDescent="0.25">
      <c r="A91" s="5" t="s">
        <v>283</v>
      </c>
      <c r="B91" s="5" t="s">
        <v>24</v>
      </c>
      <c r="C91" s="5" t="s">
        <v>284</v>
      </c>
      <c r="D91" s="5" t="s">
        <v>285</v>
      </c>
      <c r="E91" s="5" t="str">
        <f t="shared" si="14"/>
        <v>\images\cards\DSBB\07-09 Armure de Tueur de Dragons (DS3).png</v>
      </c>
      <c r="F91" s="2" t="s">
        <v>116</v>
      </c>
      <c r="H91" s="1" t="str">
        <f t="shared" si="15"/>
        <v>07-09 Armure de Tueur de Dragons (DS3)</v>
      </c>
      <c r="I91" s="1" t="s">
        <v>286</v>
      </c>
    </row>
    <row r="92" spans="1:9" x14ac:dyDescent="0.25">
      <c r="A92" s="5" t="s">
        <v>287</v>
      </c>
      <c r="B92" s="5" t="s">
        <v>13</v>
      </c>
      <c r="C92" s="5" t="s">
        <v>288</v>
      </c>
      <c r="D92" s="5" t="s">
        <v>289</v>
      </c>
      <c r="E92" s="5" t="str">
        <f t="shared" si="14"/>
        <v>\images\cards\DSBB\07-10 Priscilla (DS1).png</v>
      </c>
      <c r="H92" s="1" t="str">
        <f t="shared" si="15"/>
        <v>07-10 Priscilla (DS1)</v>
      </c>
      <c r="I92" s="1" t="s">
        <v>290</v>
      </c>
    </row>
    <row r="93" spans="1:9" x14ac:dyDescent="0.25">
      <c r="A93" s="5" t="s">
        <v>291</v>
      </c>
      <c r="B93" s="5" t="s">
        <v>20</v>
      </c>
      <c r="C93" s="5" t="s">
        <v>292</v>
      </c>
      <c r="D93" s="5" t="s">
        <v>293</v>
      </c>
      <c r="E93" s="5" t="str">
        <f t="shared" si="14"/>
        <v>\images\cards\DSBB\07-11 Avaa (DS2).png</v>
      </c>
      <c r="F93" s="2" t="s">
        <v>53</v>
      </c>
      <c r="H93" s="1" t="str">
        <f t="shared" si="15"/>
        <v>07-11 Avaa (DS2)</v>
      </c>
      <c r="I93" s="1" t="s">
        <v>294</v>
      </c>
    </row>
    <row r="94" spans="1:9" x14ac:dyDescent="0.25">
      <c r="A94" s="5" t="s">
        <v>295</v>
      </c>
      <c r="B94" s="5" t="s">
        <v>20</v>
      </c>
      <c r="C94" s="5" t="s">
        <v>296</v>
      </c>
      <c r="D94" s="5" t="s">
        <v>296</v>
      </c>
      <c r="E94" s="5" t="str">
        <f t="shared" si="14"/>
        <v>\images\cards\DSBB\07-12 Vieux Roi de Fer (DS2).png</v>
      </c>
      <c r="F94" s="2" t="s">
        <v>66</v>
      </c>
      <c r="H94" s="1" t="str">
        <f t="shared" si="15"/>
        <v>07-12 Vieux Roi de Fer (DS2)</v>
      </c>
      <c r="I94" s="1" t="s">
        <v>297</v>
      </c>
    </row>
    <row r="95" spans="1:9" x14ac:dyDescent="0.25">
      <c r="A95" s="5" t="s">
        <v>298</v>
      </c>
      <c r="B95" s="5" t="s">
        <v>20</v>
      </c>
      <c r="C95" s="5" t="s">
        <v>299</v>
      </c>
      <c r="D95" s="5" t="s">
        <v>299</v>
      </c>
      <c r="E95" s="5" t="str">
        <f t="shared" si="14"/>
        <v>\images\cards\DSBB\07-13 Chevalier Miroir (DS2).png</v>
      </c>
      <c r="F95" s="2" t="s">
        <v>116</v>
      </c>
      <c r="H95" s="1" t="str">
        <f t="shared" si="15"/>
        <v>07-13 Chevalier Miroir (DS2)</v>
      </c>
      <c r="I95" s="1" t="s">
        <v>300</v>
      </c>
    </row>
    <row r="96" spans="1:9" x14ac:dyDescent="0.25">
      <c r="A96" s="5" t="s">
        <v>301</v>
      </c>
      <c r="B96" s="5" t="s">
        <v>24</v>
      </c>
      <c r="C96" s="5" t="s">
        <v>302</v>
      </c>
      <c r="D96" s="5" t="s">
        <v>303</v>
      </c>
      <c r="E96" s="5" t="str">
        <f t="shared" si="14"/>
        <v>\images\cards\DSBB\07-14 Pontiff Sulyvahn (DS3).png</v>
      </c>
      <c r="H96" s="1" t="str">
        <f t="shared" si="15"/>
        <v>07-14 Pontiff Sulyvahn (DS3)</v>
      </c>
      <c r="I96" s="1" t="s">
        <v>304</v>
      </c>
    </row>
    <row r="97" spans="1:9" ht="21" customHeight="1" x14ac:dyDescent="0.25">
      <c r="A97" s="6" t="s">
        <v>305</v>
      </c>
      <c r="B97" s="6"/>
      <c r="C97" s="6"/>
      <c r="D97" s="6"/>
      <c r="E97" s="6"/>
      <c r="F97" s="6"/>
      <c r="G97" s="6"/>
    </row>
    <row r="98" spans="1:9" x14ac:dyDescent="0.25">
      <c r="A98" s="5" t="s">
        <v>306</v>
      </c>
      <c r="B98" s="5" t="s">
        <v>9</v>
      </c>
      <c r="C98" s="5" t="s">
        <v>307</v>
      </c>
      <c r="D98" s="5" t="s">
        <v>308</v>
      </c>
      <c r="E98" s="5" t="str">
        <f t="shared" ref="E98:E111" si="16">"\images\cards\DSBB\"&amp;H98&amp;".png"</f>
        <v>\images\cards\DSBB\08-01 Rodeur enflammé (DeS).png</v>
      </c>
      <c r="F98" s="2" t="s">
        <v>66</v>
      </c>
      <c r="G98" s="2" t="s">
        <v>309</v>
      </c>
      <c r="H98" s="1" t="str">
        <f t="shared" ref="H98:H111" si="17">A98&amp;" "&amp;D98&amp;" "&amp;"("&amp;B98&amp;")"</f>
        <v>08-01 Rodeur enflammé (DeS)</v>
      </c>
      <c r="I98" s="1" t="s">
        <v>310</v>
      </c>
    </row>
    <row r="99" spans="1:9" x14ac:dyDescent="0.25">
      <c r="A99" s="5" t="s">
        <v>311</v>
      </c>
      <c r="B99" s="5" t="s">
        <v>13</v>
      </c>
      <c r="C99" s="5" t="s">
        <v>312</v>
      </c>
      <c r="D99" s="5" t="s">
        <v>313</v>
      </c>
      <c r="E99" s="5" t="str">
        <f t="shared" si="16"/>
        <v>\images\cards\DSBB\08-02 Gwyndolin (DS1).png</v>
      </c>
      <c r="F99" s="2" t="s">
        <v>147</v>
      </c>
      <c r="G99" s="2" t="s">
        <v>309</v>
      </c>
      <c r="H99" s="1" t="str">
        <f t="shared" si="17"/>
        <v>08-02 Gwyndolin (DS1)</v>
      </c>
      <c r="I99" s="1" t="s">
        <v>314</v>
      </c>
    </row>
    <row r="100" spans="1:9" x14ac:dyDescent="0.25">
      <c r="A100" s="5" t="s">
        <v>315</v>
      </c>
      <c r="B100" s="5" t="s">
        <v>24</v>
      </c>
      <c r="C100" s="5" t="s">
        <v>316</v>
      </c>
      <c r="D100" s="5" t="s">
        <v>316</v>
      </c>
      <c r="E100" s="5" t="str">
        <f t="shared" si="16"/>
        <v>\images\cards\DSBB\08-03 Champion Gundyr (DS3).png</v>
      </c>
      <c r="F100" s="2" t="s">
        <v>122</v>
      </c>
      <c r="G100" s="2" t="s">
        <v>309</v>
      </c>
      <c r="H100" s="1" t="str">
        <f t="shared" si="17"/>
        <v>08-03 Champion Gundyr (DS3)</v>
      </c>
      <c r="I100" s="1" t="s">
        <v>317</v>
      </c>
    </row>
    <row r="101" spans="1:9" x14ac:dyDescent="0.25">
      <c r="A101" s="5" t="s">
        <v>318</v>
      </c>
      <c r="B101" s="5" t="s">
        <v>9</v>
      </c>
      <c r="C101" s="5" t="s">
        <v>319</v>
      </c>
      <c r="D101" s="5" t="s">
        <v>320</v>
      </c>
      <c r="E101" s="5" t="str">
        <f t="shared" si="16"/>
        <v>\images\cards\DSBB\08-04 Juge (DeS).png</v>
      </c>
      <c r="G101" s="2" t="s">
        <v>309</v>
      </c>
      <c r="H101" s="1" t="str">
        <f t="shared" si="17"/>
        <v>08-04 Juge (DeS)</v>
      </c>
      <c r="I101" s="1" t="s">
        <v>321</v>
      </c>
    </row>
    <row r="102" spans="1:9" x14ac:dyDescent="0.25">
      <c r="A102" s="5" t="s">
        <v>322</v>
      </c>
      <c r="B102" s="5" t="s">
        <v>20</v>
      </c>
      <c r="C102" s="5" t="s">
        <v>323</v>
      </c>
      <c r="D102" s="5" t="s">
        <v>324</v>
      </c>
      <c r="E102" s="5" t="str">
        <f t="shared" si="16"/>
        <v>\images\cards\DSBB\08-05 La Charogne (DS2).png</v>
      </c>
      <c r="G102" s="2" t="s">
        <v>309</v>
      </c>
      <c r="H102" s="1" t="str">
        <f t="shared" si="17"/>
        <v>08-05 La Charogne (DS2)</v>
      </c>
      <c r="I102" s="1" t="s">
        <v>325</v>
      </c>
    </row>
    <row r="103" spans="1:9" x14ac:dyDescent="0.25">
      <c r="A103" s="5" t="s">
        <v>326</v>
      </c>
      <c r="B103" s="5" t="s">
        <v>13</v>
      </c>
      <c r="C103" s="5" t="s">
        <v>327</v>
      </c>
      <c r="D103" s="5" t="s">
        <v>328</v>
      </c>
      <c r="E103" s="5" t="str">
        <f t="shared" si="16"/>
        <v>\images\cards\DSBB\08-06 Foyer du Chaos (DS1).png</v>
      </c>
      <c r="F103" s="2" t="s">
        <v>66</v>
      </c>
      <c r="G103" s="2" t="s">
        <v>309</v>
      </c>
      <c r="H103" s="1" t="str">
        <f t="shared" si="17"/>
        <v>08-06 Foyer du Chaos (DS1)</v>
      </c>
      <c r="I103" s="1" t="s">
        <v>329</v>
      </c>
    </row>
    <row r="104" spans="1:9" x14ac:dyDescent="0.25">
      <c r="A104" s="5" t="s">
        <v>330</v>
      </c>
      <c r="B104" s="5" t="s">
        <v>35</v>
      </c>
      <c r="C104" s="5" t="s">
        <v>331</v>
      </c>
      <c r="D104" s="5" t="s">
        <v>332</v>
      </c>
      <c r="E104" s="5" t="str">
        <f t="shared" si="16"/>
        <v>\images\cards\DSBB\08-07 Amelia (BB).png</v>
      </c>
      <c r="G104" s="2" t="s">
        <v>309</v>
      </c>
      <c r="H104" s="1" t="str">
        <f t="shared" si="17"/>
        <v>08-07 Amelia (BB)</v>
      </c>
      <c r="I104" s="1" t="s">
        <v>333</v>
      </c>
    </row>
    <row r="105" spans="1:9" x14ac:dyDescent="0.25">
      <c r="A105" s="5" t="s">
        <v>334</v>
      </c>
      <c r="B105" s="5" t="s">
        <v>20</v>
      </c>
      <c r="C105" s="5" t="s">
        <v>335</v>
      </c>
      <c r="D105" s="5" t="s">
        <v>335</v>
      </c>
      <c r="E105" s="5" t="str">
        <f t="shared" si="16"/>
        <v>\images\cards\DSBB\08-08 Vendrick (DS2).png</v>
      </c>
      <c r="G105" s="2" t="s">
        <v>309</v>
      </c>
      <c r="H105" s="1" t="str">
        <f t="shared" si="17"/>
        <v>08-08 Vendrick (DS2)</v>
      </c>
      <c r="I105" s="1" t="s">
        <v>336</v>
      </c>
    </row>
    <row r="106" spans="1:9" x14ac:dyDescent="0.25">
      <c r="A106" s="5" t="s">
        <v>337</v>
      </c>
      <c r="B106" s="5" t="s">
        <v>35</v>
      </c>
      <c r="C106" s="5" t="s">
        <v>338</v>
      </c>
      <c r="D106" s="5" t="s">
        <v>339</v>
      </c>
      <c r="E106" s="5" t="str">
        <f t="shared" si="16"/>
        <v>\images\cards\DSBB\08-09 Ébriétas (BB).png</v>
      </c>
      <c r="F106" s="2" t="s">
        <v>83</v>
      </c>
      <c r="G106" s="2" t="s">
        <v>309</v>
      </c>
      <c r="H106" s="1" t="str">
        <f t="shared" si="17"/>
        <v>08-09 Ébriétas (BB)</v>
      </c>
      <c r="I106" s="1" t="s">
        <v>340</v>
      </c>
    </row>
    <row r="107" spans="1:9" x14ac:dyDescent="0.25">
      <c r="A107" s="5" t="s">
        <v>341</v>
      </c>
      <c r="B107" s="5" t="s">
        <v>20</v>
      </c>
      <c r="C107" s="5" t="s">
        <v>342</v>
      </c>
      <c r="D107" s="5" t="s">
        <v>343</v>
      </c>
      <c r="E107" s="5" t="str">
        <f t="shared" si="16"/>
        <v>\images\cards\DSBB\08-10 Rodeur sombre (DS2).png</v>
      </c>
      <c r="G107" s="2" t="s">
        <v>309</v>
      </c>
      <c r="H107" s="1" t="str">
        <f t="shared" si="17"/>
        <v>08-10 Rodeur sombre (DS2)</v>
      </c>
      <c r="I107" s="1" t="s">
        <v>344</v>
      </c>
    </row>
    <row r="108" spans="1:9" x14ac:dyDescent="0.25">
      <c r="A108" s="5" t="s">
        <v>345</v>
      </c>
      <c r="B108" s="5" t="s">
        <v>35</v>
      </c>
      <c r="C108" s="5" t="s">
        <v>346</v>
      </c>
      <c r="D108" s="5" t="s">
        <v>347</v>
      </c>
      <c r="E108" s="5" t="str">
        <f t="shared" si="16"/>
        <v>\images\cards\DSBB\08-11 Micolash (BB).png</v>
      </c>
      <c r="G108" s="2" t="s">
        <v>309</v>
      </c>
      <c r="H108" s="1" t="str">
        <f t="shared" si="17"/>
        <v>08-11 Micolash (BB)</v>
      </c>
      <c r="I108" s="1" t="s">
        <v>348</v>
      </c>
    </row>
    <row r="109" spans="1:9" x14ac:dyDescent="0.25">
      <c r="A109" s="5" t="s">
        <v>349</v>
      </c>
      <c r="B109" s="5" t="s">
        <v>20</v>
      </c>
      <c r="C109" s="5" t="s">
        <v>350</v>
      </c>
      <c r="D109" s="5" t="s">
        <v>350</v>
      </c>
      <c r="E109" s="5" t="str">
        <f t="shared" si="16"/>
        <v>\images\cards\DSBB\08-12 Nashandra (DS2).png</v>
      </c>
      <c r="F109" s="2" t="s">
        <v>109</v>
      </c>
      <c r="G109" s="2" t="s">
        <v>309</v>
      </c>
      <c r="H109" s="1" t="str">
        <f t="shared" si="17"/>
        <v>08-12 Nashandra (DS2)</v>
      </c>
      <c r="I109" s="1" t="s">
        <v>351</v>
      </c>
    </row>
    <row r="110" spans="1:9" x14ac:dyDescent="0.25">
      <c r="A110" s="5" t="s">
        <v>352</v>
      </c>
      <c r="B110" s="5" t="s">
        <v>20</v>
      </c>
      <c r="C110" s="5" t="s">
        <v>451</v>
      </c>
      <c r="D110" s="5" t="s">
        <v>451</v>
      </c>
      <c r="E110" s="5" t="str">
        <f t="shared" si="16"/>
        <v>\images\cards\DSBB\08-13 Sinh (DS2).png</v>
      </c>
      <c r="G110" s="2" t="s">
        <v>309</v>
      </c>
      <c r="H110" s="1" t="str">
        <f t="shared" si="17"/>
        <v>08-13 Sinh (DS2)</v>
      </c>
      <c r="I110" s="1" t="s">
        <v>473</v>
      </c>
    </row>
    <row r="111" spans="1:9" x14ac:dyDescent="0.25">
      <c r="A111" s="5" t="s">
        <v>448</v>
      </c>
      <c r="B111" s="5" t="s">
        <v>24</v>
      </c>
      <c r="C111" s="5" t="s">
        <v>353</v>
      </c>
      <c r="D111" s="5" t="s">
        <v>354</v>
      </c>
      <c r="E111" s="5" t="str">
        <f t="shared" si="16"/>
        <v>\images\cards\DSBB\08-14 Veilleurs des Abysses (DS3).png</v>
      </c>
      <c r="G111" s="2" t="s">
        <v>309</v>
      </c>
      <c r="H111" s="1" t="str">
        <f t="shared" si="17"/>
        <v>08-14 Veilleurs des Abysses (DS3)</v>
      </c>
      <c r="I111" s="1" t="s">
        <v>474</v>
      </c>
    </row>
    <row r="112" spans="1:9" ht="21" customHeight="1" x14ac:dyDescent="0.25">
      <c r="A112" s="6" t="s">
        <v>355</v>
      </c>
      <c r="B112" s="6"/>
      <c r="C112" s="6"/>
      <c r="D112" s="6"/>
      <c r="E112" s="6"/>
      <c r="F112" s="6"/>
      <c r="G112" s="6"/>
    </row>
    <row r="113" spans="1:9" x14ac:dyDescent="0.25">
      <c r="A113" s="5" t="s">
        <v>356</v>
      </c>
      <c r="B113" s="5" t="s">
        <v>24</v>
      </c>
      <c r="C113" s="5" t="s">
        <v>357</v>
      </c>
      <c r="D113" s="5" t="s">
        <v>358</v>
      </c>
      <c r="E113" s="5" t="str">
        <f t="shared" ref="E113:E126" si="18">"\images\cards\DSBB\"&amp;H113&amp;".png"</f>
        <v>\images\cards\DSBB\09-01 Midir (DS3).png</v>
      </c>
      <c r="F113" s="2" t="s">
        <v>109</v>
      </c>
      <c r="G113" s="2" t="s">
        <v>309</v>
      </c>
      <c r="H113" s="1" t="str">
        <f t="shared" ref="H113:H126" si="19">A113&amp;" "&amp;D113&amp;" "&amp;"("&amp;B113&amp;")"</f>
        <v>09-01 Midir (DS3)</v>
      </c>
      <c r="I113" s="1" t="s">
        <v>359</v>
      </c>
    </row>
    <row r="114" spans="1:9" x14ac:dyDescent="0.25">
      <c r="A114" s="5" t="s">
        <v>360</v>
      </c>
      <c r="B114" s="5" t="s">
        <v>20</v>
      </c>
      <c r="C114" s="5" t="s">
        <v>361</v>
      </c>
      <c r="D114" s="5" t="s">
        <v>362</v>
      </c>
      <c r="E114" s="5" t="str">
        <f t="shared" si="18"/>
        <v>\images\cards\DSBB\09-02 Chevalier Fumerolle (DS2).png</v>
      </c>
      <c r="G114" s="2" t="s">
        <v>309</v>
      </c>
      <c r="H114" s="1" t="str">
        <f t="shared" si="19"/>
        <v>09-02 Chevalier Fumerolle (DS2)</v>
      </c>
      <c r="I114" s="1" t="s">
        <v>363</v>
      </c>
    </row>
    <row r="115" spans="1:9" x14ac:dyDescent="0.25">
      <c r="A115" s="5" t="s">
        <v>364</v>
      </c>
      <c r="B115" s="5" t="s">
        <v>20</v>
      </c>
      <c r="C115" s="5" t="s">
        <v>365</v>
      </c>
      <c r="D115" s="5" t="s">
        <v>366</v>
      </c>
      <c r="E115" s="5" t="str">
        <f t="shared" si="18"/>
        <v>\images\cards\DSBB\09-03 Freja (DS2).png</v>
      </c>
      <c r="F115" s="2" t="s">
        <v>26</v>
      </c>
      <c r="G115" s="2" t="s">
        <v>309</v>
      </c>
      <c r="H115" s="1" t="str">
        <f t="shared" si="19"/>
        <v>09-03 Freja (DS2)</v>
      </c>
      <c r="I115" s="1" t="s">
        <v>367</v>
      </c>
    </row>
    <row r="116" spans="1:9" x14ac:dyDescent="0.25">
      <c r="A116" s="5" t="s">
        <v>368</v>
      </c>
      <c r="B116" s="5" t="s">
        <v>13</v>
      </c>
      <c r="C116" s="5" t="s">
        <v>369</v>
      </c>
      <c r="D116" s="5" t="s">
        <v>370</v>
      </c>
      <c r="E116" s="5" t="str">
        <f t="shared" si="18"/>
        <v>\images\cards\DSBB\09-04 Seath (DS1).png</v>
      </c>
      <c r="F116" s="2" t="s">
        <v>53</v>
      </c>
      <c r="G116" s="2" t="s">
        <v>309</v>
      </c>
      <c r="H116" s="1" t="str">
        <f t="shared" si="19"/>
        <v>09-04 Seath (DS1)</v>
      </c>
      <c r="I116" s="1" t="s">
        <v>371</v>
      </c>
    </row>
    <row r="117" spans="1:9" x14ac:dyDescent="0.25">
      <c r="A117" s="5" t="s">
        <v>372</v>
      </c>
      <c r="B117" s="5" t="s">
        <v>20</v>
      </c>
      <c r="C117" s="5" t="s">
        <v>373</v>
      </c>
      <c r="D117" s="5" t="s">
        <v>374</v>
      </c>
      <c r="E117" s="5" t="str">
        <f t="shared" si="18"/>
        <v>\images\cards\DSBB\09-05 Sir Alonne (DS2).png</v>
      </c>
      <c r="G117" s="2" t="s">
        <v>309</v>
      </c>
      <c r="H117" s="1" t="str">
        <f t="shared" si="19"/>
        <v>09-05 Sir Alonne (DS2)</v>
      </c>
      <c r="I117" s="1" t="s">
        <v>375</v>
      </c>
    </row>
    <row r="118" spans="1:9" x14ac:dyDescent="0.25">
      <c r="A118" s="5" t="s">
        <v>376</v>
      </c>
      <c r="B118" s="5" t="s">
        <v>9</v>
      </c>
      <c r="C118" s="5" t="s">
        <v>377</v>
      </c>
      <c r="D118" s="5" t="s">
        <v>377</v>
      </c>
      <c r="E118" s="5" t="str">
        <f t="shared" si="18"/>
        <v>\images\cards\DSBB\09-06 Dieu Dragon (DeS).png</v>
      </c>
      <c r="G118" s="2" t="s">
        <v>309</v>
      </c>
      <c r="H118" s="1" t="str">
        <f t="shared" si="19"/>
        <v>09-06 Dieu Dragon (DeS)</v>
      </c>
      <c r="I118" s="1" t="s">
        <v>378</v>
      </c>
    </row>
    <row r="119" spans="1:9" x14ac:dyDescent="0.25">
      <c r="A119" s="5" t="s">
        <v>379</v>
      </c>
      <c r="B119" s="5" t="s">
        <v>24</v>
      </c>
      <c r="C119" s="5" t="s">
        <v>380</v>
      </c>
      <c r="D119" s="5" t="s">
        <v>381</v>
      </c>
      <c r="E119" s="5" t="str">
        <f t="shared" si="18"/>
        <v>\images\cards\DSBB\09-07 Aldrich (DS3).png</v>
      </c>
      <c r="G119" s="2" t="s">
        <v>309</v>
      </c>
      <c r="H119" s="1" t="str">
        <f t="shared" si="19"/>
        <v>09-07 Aldrich (DS3)</v>
      </c>
      <c r="I119" s="1" t="s">
        <v>382</v>
      </c>
    </row>
    <row r="120" spans="1:9" x14ac:dyDescent="0.25">
      <c r="A120" s="5" t="s">
        <v>383</v>
      </c>
      <c r="B120" s="5" t="s">
        <v>9</v>
      </c>
      <c r="C120" s="5" t="s">
        <v>453</v>
      </c>
      <c r="D120" s="5" t="s">
        <v>453</v>
      </c>
      <c r="E120" s="5" t="str">
        <f t="shared" si="18"/>
        <v>\images\cards\DSBB\09-08 Démon des Tempêtes (DeS).png</v>
      </c>
      <c r="F120" s="2" t="s">
        <v>181</v>
      </c>
      <c r="G120" s="2" t="s">
        <v>309</v>
      </c>
      <c r="H120" s="1" t="str">
        <f t="shared" si="19"/>
        <v>09-08 Démon des Tempêtes (DeS)</v>
      </c>
      <c r="I120" s="1" t="s">
        <v>455</v>
      </c>
    </row>
    <row r="121" spans="1:9" x14ac:dyDescent="0.25">
      <c r="A121" s="5" t="s">
        <v>386</v>
      </c>
      <c r="B121" s="5" t="s">
        <v>24</v>
      </c>
      <c r="C121" s="5" t="s">
        <v>384</v>
      </c>
      <c r="D121" s="5" t="s">
        <v>385</v>
      </c>
      <c r="E121" s="5" t="str">
        <f t="shared" si="18"/>
        <v>\images\cards\DSBB\09-09 Lorian &amp; Lothric (DS3).png</v>
      </c>
      <c r="G121" s="2" t="s">
        <v>309</v>
      </c>
      <c r="H121" s="1" t="str">
        <f t="shared" si="19"/>
        <v>09-09 Lorian &amp; Lothric (DS3)</v>
      </c>
      <c r="I121" s="1" t="s">
        <v>456</v>
      </c>
    </row>
    <row r="122" spans="1:9" x14ac:dyDescent="0.25">
      <c r="A122" s="5" t="s">
        <v>389</v>
      </c>
      <c r="B122" s="5" t="s">
        <v>20</v>
      </c>
      <c r="C122" s="5" t="s">
        <v>387</v>
      </c>
      <c r="D122" s="5" t="s">
        <v>388</v>
      </c>
      <c r="E122" s="5" t="str">
        <f t="shared" si="18"/>
        <v>\images\cards\DSBB\09-10 Roi d'ivoire (DS2).png</v>
      </c>
      <c r="G122" s="2" t="s">
        <v>309</v>
      </c>
      <c r="H122" s="1" t="str">
        <f t="shared" si="19"/>
        <v>09-10 Roi d'ivoire (DS2)</v>
      </c>
      <c r="I122" s="1" t="s">
        <v>457</v>
      </c>
    </row>
    <row r="123" spans="1:9" x14ac:dyDescent="0.25">
      <c r="A123" s="5" t="s">
        <v>392</v>
      </c>
      <c r="B123" s="5" t="s">
        <v>24</v>
      </c>
      <c r="C123" s="5" t="s">
        <v>390</v>
      </c>
      <c r="D123" s="5" t="s">
        <v>391</v>
      </c>
      <c r="E123" s="5" t="str">
        <f t="shared" si="18"/>
        <v>\images\cards\DSBB\09-11 Yhorm (DS3).png</v>
      </c>
      <c r="G123" s="2" t="s">
        <v>309</v>
      </c>
      <c r="H123" s="1" t="str">
        <f t="shared" si="19"/>
        <v>09-11 Yhorm (DS3)</v>
      </c>
      <c r="I123" s="1" t="s">
        <v>458</v>
      </c>
    </row>
    <row r="124" spans="1:9" x14ac:dyDescent="0.25">
      <c r="A124" s="5" t="s">
        <v>395</v>
      </c>
      <c r="B124" s="5" t="s">
        <v>13</v>
      </c>
      <c r="C124" s="5" t="s">
        <v>393</v>
      </c>
      <c r="D124" s="5" t="s">
        <v>394</v>
      </c>
      <c r="E124" s="5" t="str">
        <f t="shared" si="18"/>
        <v>\images\cards\DSBB\09-12 Nito (DS1).png</v>
      </c>
      <c r="F124" s="2" t="s">
        <v>122</v>
      </c>
      <c r="G124" s="2" t="s">
        <v>309</v>
      </c>
      <c r="H124" s="1" t="str">
        <f t="shared" si="19"/>
        <v>09-12 Nito (DS1)</v>
      </c>
      <c r="I124" s="1" t="s">
        <v>459</v>
      </c>
    </row>
    <row r="125" spans="1:9" x14ac:dyDescent="0.25">
      <c r="A125" s="5" t="s">
        <v>398</v>
      </c>
      <c r="B125" s="5" t="s">
        <v>35</v>
      </c>
      <c r="C125" s="5" t="s">
        <v>396</v>
      </c>
      <c r="D125" s="5" t="s">
        <v>397</v>
      </c>
      <c r="E125" s="5" t="str">
        <f t="shared" si="18"/>
        <v>\images\cards\DSBB\09-13 Ludwig (BB).png</v>
      </c>
      <c r="G125" s="2" t="s">
        <v>309</v>
      </c>
      <c r="H125" s="1" t="str">
        <f t="shared" si="19"/>
        <v>09-13 Ludwig (BB)</v>
      </c>
      <c r="I125" s="1" t="s">
        <v>460</v>
      </c>
    </row>
    <row r="126" spans="1:9" x14ac:dyDescent="0.25">
      <c r="A126" s="5" t="s">
        <v>449</v>
      </c>
      <c r="B126" s="5" t="s">
        <v>9</v>
      </c>
      <c r="C126" s="5" t="s">
        <v>399</v>
      </c>
      <c r="D126" s="5" t="s">
        <v>400</v>
      </c>
      <c r="E126" s="5" t="str">
        <f t="shared" si="18"/>
        <v>\images\cards\DSBB\09-14 Astraea &amp; Garl (DeS).png</v>
      </c>
      <c r="F126" s="2" t="s">
        <v>147</v>
      </c>
      <c r="G126" s="2" t="s">
        <v>309</v>
      </c>
      <c r="H126" s="1" t="str">
        <f t="shared" si="19"/>
        <v>09-14 Astraea &amp; Garl (DeS)</v>
      </c>
      <c r="I126" s="1" t="s">
        <v>461</v>
      </c>
    </row>
    <row r="127" spans="1:9" ht="21" customHeight="1" x14ac:dyDescent="0.25">
      <c r="A127" s="6" t="s">
        <v>401</v>
      </c>
      <c r="B127" s="6"/>
      <c r="C127" s="6"/>
      <c r="D127" s="6"/>
      <c r="E127" s="6"/>
      <c r="F127" s="6"/>
      <c r="G127" s="6"/>
    </row>
    <row r="128" spans="1:9" x14ac:dyDescent="0.25">
      <c r="A128" s="5" t="s">
        <v>402</v>
      </c>
      <c r="B128" s="5" t="s">
        <v>9</v>
      </c>
      <c r="C128" s="5" t="s">
        <v>403</v>
      </c>
      <c r="D128" s="5" t="s">
        <v>403</v>
      </c>
      <c r="E128" s="5" t="str">
        <f t="shared" ref="E128:E141" si="20">"\images\cards\DSBB\"&amp;H128&amp;".png"</f>
        <v>\images\cards\DSBB\10-01 Vieux Roi Allant (DeS).png</v>
      </c>
      <c r="G128" s="2" t="s">
        <v>309</v>
      </c>
      <c r="H128" s="1" t="str">
        <f t="shared" ref="H128:H141" si="21">A128&amp;" "&amp;D128&amp;" "&amp;"("&amp;B128&amp;")"</f>
        <v>10-01 Vieux Roi Allant (DeS)</v>
      </c>
      <c r="I128" s="1" t="s">
        <v>404</v>
      </c>
    </row>
    <row r="129" spans="1:9" x14ac:dyDescent="0.25">
      <c r="A129" s="5" t="s">
        <v>405</v>
      </c>
      <c r="B129" s="5" t="s">
        <v>13</v>
      </c>
      <c r="C129" s="5" t="s">
        <v>406</v>
      </c>
      <c r="D129" s="5" t="s">
        <v>407</v>
      </c>
      <c r="E129" s="5" t="str">
        <f t="shared" si="20"/>
        <v>\images\cards\DSBB\10-02 Gwyn (DS1).png</v>
      </c>
      <c r="G129" s="2" t="s">
        <v>309</v>
      </c>
      <c r="H129" s="1" t="str">
        <f t="shared" si="21"/>
        <v>10-02 Gwyn (DS1)</v>
      </c>
      <c r="I129" s="1" t="s">
        <v>408</v>
      </c>
    </row>
    <row r="130" spans="1:9" x14ac:dyDescent="0.25">
      <c r="A130" s="5" t="s">
        <v>409</v>
      </c>
      <c r="B130" s="5" t="s">
        <v>20</v>
      </c>
      <c r="C130" s="5" t="s">
        <v>452</v>
      </c>
      <c r="D130" s="5" t="s">
        <v>452</v>
      </c>
      <c r="E130" s="5" t="str">
        <f t="shared" si="20"/>
        <v>\images\cards\DSBB\10-03 Aldia (DS2).png</v>
      </c>
      <c r="F130" s="2" t="s">
        <v>66</v>
      </c>
      <c r="G130" s="2" t="s">
        <v>309</v>
      </c>
      <c r="H130" s="1" t="str">
        <f t="shared" si="21"/>
        <v>10-03 Aldia (DS2)</v>
      </c>
      <c r="I130" s="1" t="s">
        <v>454</v>
      </c>
    </row>
    <row r="131" spans="1:9" x14ac:dyDescent="0.25">
      <c r="A131" s="5" t="s">
        <v>412</v>
      </c>
      <c r="B131" s="5" t="s">
        <v>35</v>
      </c>
      <c r="C131" s="5" t="s">
        <v>430</v>
      </c>
      <c r="D131" s="5" t="s">
        <v>431</v>
      </c>
      <c r="E131" s="5" t="str">
        <f t="shared" si="20"/>
        <v>\images\cards\DSBB\10-04 Lady Maria (BB).png</v>
      </c>
      <c r="G131" s="2" t="s">
        <v>309</v>
      </c>
      <c r="H131" s="1" t="str">
        <f t="shared" si="21"/>
        <v>10-04 Lady Maria (BB)</v>
      </c>
      <c r="I131" s="1" t="s">
        <v>462</v>
      </c>
    </row>
    <row r="132" spans="1:9" x14ac:dyDescent="0.25">
      <c r="A132" s="5" t="s">
        <v>415</v>
      </c>
      <c r="B132" s="5" t="s">
        <v>13</v>
      </c>
      <c r="C132" s="5" t="s">
        <v>413</v>
      </c>
      <c r="D132" s="5" t="s">
        <v>414</v>
      </c>
      <c r="E132" s="5" t="str">
        <f t="shared" si="20"/>
        <v>\images\cards\DSBB\10-05 Manus (DS1).png</v>
      </c>
      <c r="G132" s="2" t="s">
        <v>309</v>
      </c>
      <c r="H132" s="1" t="str">
        <f t="shared" si="21"/>
        <v>10-05 Manus (DS1)</v>
      </c>
      <c r="I132" s="1" t="s">
        <v>463</v>
      </c>
    </row>
    <row r="133" spans="1:9" x14ac:dyDescent="0.25">
      <c r="A133" s="5" t="s">
        <v>418</v>
      </c>
      <c r="B133" s="5" t="s">
        <v>13</v>
      </c>
      <c r="C133" s="5" t="s">
        <v>410</v>
      </c>
      <c r="D133" s="5" t="s">
        <v>411</v>
      </c>
      <c r="E133" s="5" t="str">
        <f t="shared" si="20"/>
        <v>\images\cards\DSBB\10-06 Ornstein &amp; Smough (DS1).png</v>
      </c>
      <c r="F133" s="2" t="s">
        <v>116</v>
      </c>
      <c r="G133" s="2" t="s">
        <v>309</v>
      </c>
      <c r="H133" s="1" t="str">
        <f t="shared" si="21"/>
        <v>10-06 Ornstein &amp; Smough (DS1)</v>
      </c>
      <c r="I133" s="1" t="s">
        <v>464</v>
      </c>
    </row>
    <row r="134" spans="1:9" x14ac:dyDescent="0.25">
      <c r="A134" s="5" t="s">
        <v>420</v>
      </c>
      <c r="B134" s="5" t="s">
        <v>24</v>
      </c>
      <c r="C134" s="5" t="s">
        <v>419</v>
      </c>
      <c r="D134" s="5" t="s">
        <v>419</v>
      </c>
      <c r="E134" s="5" t="str">
        <f t="shared" si="20"/>
        <v>\images\cards\DSBB\10-07 Âme de Cendre (DS3).png</v>
      </c>
      <c r="G134" s="2" t="s">
        <v>309</v>
      </c>
      <c r="H134" s="1" t="str">
        <f t="shared" si="21"/>
        <v>10-07 Âme de Cendre (DS3)</v>
      </c>
      <c r="I134" s="1" t="s">
        <v>465</v>
      </c>
    </row>
    <row r="135" spans="1:9" x14ac:dyDescent="0.25">
      <c r="A135" s="5" t="s">
        <v>422</v>
      </c>
      <c r="B135" s="5" t="s">
        <v>35</v>
      </c>
      <c r="C135" s="5" t="s">
        <v>428</v>
      </c>
      <c r="D135" s="5" t="s">
        <v>428</v>
      </c>
      <c r="E135" s="5" t="str">
        <f t="shared" si="20"/>
        <v>\images\cards\DSBB\10-08 Présence Lunaire (BB).png</v>
      </c>
      <c r="G135" s="2" t="s">
        <v>309</v>
      </c>
      <c r="H135" s="1" t="str">
        <f t="shared" si="21"/>
        <v>10-08 Présence Lunaire (BB)</v>
      </c>
      <c r="I135" s="1" t="s">
        <v>466</v>
      </c>
    </row>
    <row r="136" spans="1:9" x14ac:dyDescent="0.25">
      <c r="A136" s="5" t="s">
        <v>424</v>
      </c>
      <c r="B136" s="5" t="s">
        <v>24</v>
      </c>
      <c r="C136" s="5" t="s">
        <v>423</v>
      </c>
      <c r="D136" s="5" t="s">
        <v>423</v>
      </c>
      <c r="E136" s="5" t="str">
        <f t="shared" si="20"/>
        <v>\images\cards\DSBB\10-09 Sœur Friede (DS3).png</v>
      </c>
      <c r="F136" s="2" t="s">
        <v>53</v>
      </c>
      <c r="G136" s="2" t="s">
        <v>309</v>
      </c>
      <c r="H136" s="1" t="str">
        <f t="shared" si="21"/>
        <v>10-09 Sœur Friede (DS3)</v>
      </c>
      <c r="I136" s="1" t="s">
        <v>467</v>
      </c>
    </row>
    <row r="137" spans="1:9" x14ac:dyDescent="0.25">
      <c r="A137" s="5" t="s">
        <v>427</v>
      </c>
      <c r="B137" s="5" t="s">
        <v>24</v>
      </c>
      <c r="C137" s="5" t="s">
        <v>425</v>
      </c>
      <c r="D137" s="5" t="s">
        <v>426</v>
      </c>
      <c r="E137" s="5" t="str">
        <f t="shared" si="20"/>
        <v>\images\cards\DSBB\10-10 Gael (DS3).png</v>
      </c>
      <c r="G137" s="2" t="s">
        <v>309</v>
      </c>
      <c r="H137" s="1" t="str">
        <f t="shared" si="21"/>
        <v>10-10 Gael (DS3)</v>
      </c>
      <c r="I137" s="1" t="s">
        <v>468</v>
      </c>
    </row>
    <row r="138" spans="1:9" x14ac:dyDescent="0.25">
      <c r="A138" s="5" t="s">
        <v>429</v>
      </c>
      <c r="B138" s="5" t="s">
        <v>35</v>
      </c>
      <c r="C138" s="5" t="s">
        <v>433</v>
      </c>
      <c r="D138" s="5" t="s">
        <v>434</v>
      </c>
      <c r="E138" s="5" t="str">
        <f t="shared" si="20"/>
        <v>\images\cards\DSBB\10-11 Gehrman (BB).png</v>
      </c>
      <c r="G138" s="2" t="s">
        <v>309</v>
      </c>
      <c r="H138" s="1" t="str">
        <f t="shared" si="21"/>
        <v>10-11 Gehrman (BB)</v>
      </c>
      <c r="I138" s="1" t="s">
        <v>469</v>
      </c>
    </row>
    <row r="139" spans="1:9" x14ac:dyDescent="0.25">
      <c r="A139" s="5" t="s">
        <v>432</v>
      </c>
      <c r="B139" s="5" t="s">
        <v>24</v>
      </c>
      <c r="C139" s="5" t="s">
        <v>421</v>
      </c>
      <c r="D139" s="5" t="s">
        <v>421</v>
      </c>
      <c r="E139" s="5" t="str">
        <f t="shared" si="20"/>
        <v>\images\cards\DSBB\10-12 Roi Sans Nom (DS3).png</v>
      </c>
      <c r="F139" s="2" t="s">
        <v>116</v>
      </c>
      <c r="G139" s="2" t="s">
        <v>309</v>
      </c>
      <c r="H139" s="1" t="str">
        <f t="shared" si="21"/>
        <v>10-12 Roi Sans Nom (DS3)</v>
      </c>
      <c r="I139" s="1" t="s">
        <v>470</v>
      </c>
    </row>
    <row r="140" spans="1:9" x14ac:dyDescent="0.25">
      <c r="A140" s="5" t="s">
        <v>435</v>
      </c>
      <c r="B140" s="5" t="s">
        <v>13</v>
      </c>
      <c r="C140" s="5" t="s">
        <v>416</v>
      </c>
      <c r="D140" s="5" t="s">
        <v>417</v>
      </c>
      <c r="E140" s="5" t="str">
        <f t="shared" si="20"/>
        <v>\images\cards\DSBB\10-13 Artorias (DS1).png</v>
      </c>
      <c r="G140" s="2" t="s">
        <v>309</v>
      </c>
      <c r="H140" s="1" t="str">
        <f t="shared" si="21"/>
        <v>10-13 Artorias (DS1)</v>
      </c>
      <c r="I140" s="1" t="s">
        <v>471</v>
      </c>
    </row>
    <row r="141" spans="1:9" x14ac:dyDescent="0.25">
      <c r="A141" s="5" t="s">
        <v>450</v>
      </c>
      <c r="B141" s="5" t="s">
        <v>35</v>
      </c>
      <c r="C141" s="5" t="s">
        <v>436</v>
      </c>
      <c r="D141" s="5" t="s">
        <v>436</v>
      </c>
      <c r="E141" s="5" t="str">
        <f t="shared" si="20"/>
        <v>\images\cards\DSBB\10-14 Orphelin de Kos (BB).png</v>
      </c>
      <c r="F141" s="2" t="s">
        <v>83</v>
      </c>
      <c r="G141" s="2" t="s">
        <v>309</v>
      </c>
      <c r="H141" s="1" t="str">
        <f t="shared" si="21"/>
        <v>10-14 Orphelin de Kos (BB)</v>
      </c>
      <c r="I141" s="1" t="s">
        <v>472</v>
      </c>
    </row>
    <row r="145" spans="3:4" x14ac:dyDescent="0.25">
      <c r="C145" s="5" t="s">
        <v>228</v>
      </c>
      <c r="D145" s="5" t="s">
        <v>228</v>
      </c>
    </row>
  </sheetData>
  <autoFilter ref="A1:H141" xr:uid="{00000000-0009-0000-0000-000000000000}"/>
  <mergeCells count="10">
    <mergeCell ref="A68:G68"/>
    <mergeCell ref="A82:G82"/>
    <mergeCell ref="A97:G97"/>
    <mergeCell ref="A112:G112"/>
    <mergeCell ref="A127:G127"/>
    <mergeCell ref="A2:G2"/>
    <mergeCell ref="A15:G15"/>
    <mergeCell ref="A28:G28"/>
    <mergeCell ref="A41:G41"/>
    <mergeCell ref="A54:G54"/>
  </mergeCells>
  <phoneticPr fontId="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 DSBB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Renaud A.</cp:lastModifiedBy>
  <cp:revision>0</cp:revision>
  <dcterms:created xsi:type="dcterms:W3CDTF">2026-09-13T08:38:32Z</dcterms:created>
  <dcterms:modified xsi:type="dcterms:W3CDTF">2026-09-16T17:06:41Z</dcterms:modified>
  <dc:language>en-US</dc:language>
</cp:coreProperties>
</file>